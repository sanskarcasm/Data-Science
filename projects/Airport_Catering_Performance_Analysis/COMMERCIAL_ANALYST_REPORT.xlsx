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nskar.pant\Downloads\"/>
    </mc:Choice>
  </mc:AlternateContent>
  <xr:revisionPtr revIDLastSave="0" documentId="13_ncr:1_{75D7839C-7315-4D49-8369-FD5190C5EF7D}" xr6:coauthVersionLast="47" xr6:coauthVersionMax="47" xr10:uidLastSave="{00000000-0000-0000-0000-000000000000}"/>
  <bookViews>
    <workbookView xWindow="-28920" yWindow="-1980" windowWidth="29040" windowHeight="15720" tabRatio="500" activeTab="5" xr2:uid="{00000000-000D-0000-FFFF-FFFF00000000}"/>
  </bookViews>
  <sheets>
    <sheet name="TaskDescription" sheetId="1" r:id="rId1"/>
    <sheet name="RetailerData" sheetId="2" r:id="rId2"/>
    <sheet name="PassengerData" sheetId="3" r:id="rId3"/>
    <sheet name="Data" sheetId="4" r:id="rId4"/>
    <sheet name="Output" sheetId="5" r:id="rId5"/>
    <sheet name="Dashboard" sheetId="6" r:id="rId6"/>
    <sheet name="Summary"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5" i="5" l="1"/>
  <c r="I40" i="5"/>
  <c r="J40" i="5" s="1"/>
  <c r="G40" i="5"/>
  <c r="F40" i="5"/>
  <c r="H40" i="5" s="1"/>
  <c r="E40" i="5"/>
  <c r="D40" i="5"/>
  <c r="K40" i="5" s="1"/>
  <c r="C40" i="5"/>
  <c r="B40" i="5"/>
  <c r="I39" i="5"/>
  <c r="J39" i="5" s="1"/>
  <c r="G39" i="5"/>
  <c r="F39" i="5"/>
  <c r="H39" i="5" s="1"/>
  <c r="E39" i="5"/>
  <c r="D39" i="5"/>
  <c r="K39" i="5" s="1"/>
  <c r="C39" i="5"/>
  <c r="B39" i="5"/>
  <c r="I38" i="5"/>
  <c r="J38" i="5" s="1"/>
  <c r="G38" i="5"/>
  <c r="F38" i="5"/>
  <c r="H38" i="5" s="1"/>
  <c r="E38" i="5"/>
  <c r="D38" i="5"/>
  <c r="K38" i="5" s="1"/>
  <c r="C38" i="5"/>
  <c r="B38" i="5"/>
  <c r="I37" i="5"/>
  <c r="J37" i="5" s="1"/>
  <c r="G37" i="5"/>
  <c r="F37" i="5"/>
  <c r="H37" i="5" s="1"/>
  <c r="E37" i="5"/>
  <c r="D37" i="5"/>
  <c r="K37" i="5" s="1"/>
  <c r="C37" i="5"/>
  <c r="B37" i="5"/>
  <c r="I36" i="5"/>
  <c r="G36" i="5"/>
  <c r="G41" i="5" s="1"/>
  <c r="F36" i="5"/>
  <c r="E36" i="5"/>
  <c r="E41" i="5" s="1"/>
  <c r="D36" i="5"/>
  <c r="K36" i="5" s="1"/>
  <c r="C36" i="5"/>
  <c r="B36" i="5"/>
  <c r="C31" i="5"/>
  <c r="B31" i="5"/>
  <c r="C30" i="5"/>
  <c r="B30" i="5"/>
  <c r="C29" i="5"/>
  <c r="B29" i="5"/>
  <c r="C28" i="5"/>
  <c r="B28" i="5"/>
  <c r="C27" i="5"/>
  <c r="B27" i="5"/>
  <c r="C26" i="5"/>
  <c r="B26" i="5"/>
  <c r="D25" i="5"/>
  <c r="C25" i="5"/>
  <c r="B25" i="5"/>
  <c r="D24" i="5"/>
  <c r="C24" i="5"/>
  <c r="B24" i="5"/>
  <c r="D23" i="5"/>
  <c r="C23" i="5"/>
  <c r="B23" i="5"/>
  <c r="D22" i="5"/>
  <c r="C22" i="5"/>
  <c r="B22" i="5"/>
  <c r="D21" i="5"/>
  <c r="C21" i="5"/>
  <c r="B21" i="5"/>
  <c r="D20" i="5"/>
  <c r="C20" i="5"/>
  <c r="B20" i="5"/>
  <c r="D15" i="5"/>
  <c r="D16" i="5" s="1"/>
  <c r="B11" i="6" s="1"/>
  <c r="C15" i="5"/>
  <c r="B15" i="5"/>
  <c r="D13" i="5"/>
  <c r="C13" i="5"/>
  <c r="B13" i="5"/>
  <c r="D12" i="5"/>
  <c r="B7" i="6" s="1"/>
  <c r="C12" i="5"/>
  <c r="F12" i="5" s="1"/>
  <c r="B8" i="6" s="1"/>
  <c r="B12" i="5"/>
  <c r="E12" i="5" s="1"/>
  <c r="D6" i="5"/>
  <c r="D7" i="5" s="1"/>
  <c r="C6" i="5"/>
  <c r="C7" i="5" s="1"/>
  <c r="B6" i="5"/>
  <c r="B7" i="5" s="1"/>
  <c r="D5" i="5"/>
  <c r="C5" i="5"/>
  <c r="B5" i="5"/>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4" i="4"/>
  <c r="J3" i="4"/>
  <c r="J2" i="4"/>
  <c r="B48" i="5" l="1"/>
  <c r="B53" i="5"/>
  <c r="D52" i="5"/>
  <c r="C52" i="5"/>
  <c r="D47" i="5"/>
  <c r="C48" i="5"/>
  <c r="D48" i="5"/>
  <c r="B49" i="5"/>
  <c r="B52" i="5"/>
  <c r="C49" i="5"/>
  <c r="D49" i="5"/>
  <c r="C47" i="5"/>
  <c r="B47" i="5"/>
  <c r="B50" i="5"/>
  <c r="C50" i="5"/>
  <c r="D50" i="5"/>
  <c r="B51" i="5"/>
  <c r="C51" i="5"/>
  <c r="D51" i="5"/>
  <c r="C58" i="5"/>
  <c r="B58" i="5"/>
  <c r="C57" i="5"/>
  <c r="B57" i="5"/>
  <c r="C56" i="5"/>
  <c r="B56" i="5"/>
  <c r="C55" i="5"/>
  <c r="B55" i="5"/>
  <c r="C54" i="5"/>
  <c r="B54" i="5"/>
  <c r="C53" i="5"/>
  <c r="I41" i="5"/>
  <c r="J36" i="5"/>
  <c r="F41" i="5"/>
  <c r="H36" i="5"/>
  <c r="C16" i="5"/>
  <c r="F16" i="5" s="1"/>
  <c r="F15" i="5"/>
  <c r="E15" i="5"/>
  <c r="B16" i="5"/>
  <c r="B9" i="6"/>
  <c r="D14" i="5"/>
  <c r="B10" i="6" s="1"/>
  <c r="F13" i="5"/>
  <c r="C14" i="5"/>
  <c r="F14" i="5" s="1"/>
  <c r="E13" i="5"/>
  <c r="B14" i="5"/>
  <c r="E14" i="5" s="1"/>
  <c r="E16" i="5" l="1"/>
</calcChain>
</file>

<file path=xl/sharedStrings.xml><?xml version="1.0" encoding="utf-8"?>
<sst xmlns="http://schemas.openxmlformats.org/spreadsheetml/2006/main" count="999" uniqueCount="105">
  <si>
    <t>Task Description</t>
  </si>
  <si>
    <t>Background:</t>
  </si>
  <si>
    <t>Catering is one of Edinburgh Airport's largest commercial revenue streams and plays a key role in the airport's overall financial performance.
The Commercial team regularly reviews the performance of the catering estate to understand how outlets are trading, identify trends over time, and highlight opportunities to improve performance. The team uses dashboards to monitor key performance indicators and support commercial decision making.
You have been provided with a dataset containing monthly sales and transaction data for a number of catering outlets across the airport (tab, RetailerData). You have also been provided with the total passenger numbers (tab, PassengerData)</t>
  </si>
  <si>
    <t>Your Task:</t>
  </si>
  <si>
    <t xml:space="preserve">Create an Output tab to produce any outcomes. Use formulas (e.g. do not copy paste as values from pviots) so we can see your thought process.
Create an interactive dashboard in Excel, PowerBI (or both) that enables the Commercial team to monitor the performance of the catering estate. Your dashboard should allow users to quickly understand:
- Overall catering performance
- Individual outlet performance
- Year on Year trends
- YTD performance
- Any other analysis you believe to be useful
Alongside your dashboard, provide a short summary (max. 5 bullet points) outlining your key findings
</t>
  </si>
  <si>
    <t>Category1</t>
  </si>
  <si>
    <t>Outlet Name</t>
  </si>
  <si>
    <t>Category4</t>
  </si>
  <si>
    <t>Year of Month Start Date</t>
  </si>
  <si>
    <t>Month of Month Start Date</t>
  </si>
  <si>
    <t>Unit Location</t>
  </si>
  <si>
    <t>Monthly Unit Size Meter Sq</t>
  </si>
  <si>
    <t>Transactions</t>
  </si>
  <si>
    <t>Total Sales</t>
  </si>
  <si>
    <t>Catering</t>
  </si>
  <si>
    <t>Gate Bistro</t>
  </si>
  <si>
    <t>Coffee</t>
  </si>
  <si>
    <t>2024</t>
  </si>
  <si>
    <t>December</t>
  </si>
  <si>
    <t>Central</t>
  </si>
  <si>
    <t>398</t>
  </si>
  <si>
    <t>2025</t>
  </si>
  <si>
    <t>January</t>
  </si>
  <si>
    <t>February</t>
  </si>
  <si>
    <t>March</t>
  </si>
  <si>
    <t>April</t>
  </si>
  <si>
    <t>May</t>
  </si>
  <si>
    <t>June</t>
  </si>
  <si>
    <t>July</t>
  </si>
  <si>
    <t>August</t>
  </si>
  <si>
    <t>September</t>
  </si>
  <si>
    <t>October</t>
  </si>
  <si>
    <t>November</t>
  </si>
  <si>
    <t>2026</t>
  </si>
  <si>
    <t>Terminal Kitchen</t>
  </si>
  <si>
    <t>Restaurants</t>
  </si>
  <si>
    <t>East</t>
  </si>
  <si>
    <t>300</t>
  </si>
  <si>
    <t>Oak Coffee Bar</t>
  </si>
  <si>
    <t>West</t>
  </si>
  <si>
    <t>190</t>
  </si>
  <si>
    <t>269</t>
  </si>
  <si>
    <t>Sky Deli</t>
  </si>
  <si>
    <t>343</t>
  </si>
  <si>
    <t>North Kitchen</t>
  </si>
  <si>
    <t>685</t>
  </si>
  <si>
    <t>817</t>
  </si>
  <si>
    <t>Month</t>
  </si>
  <si>
    <t>Jan</t>
  </si>
  <si>
    <t>Feb</t>
  </si>
  <si>
    <t>Mar</t>
  </si>
  <si>
    <t>Apr</t>
  </si>
  <si>
    <t>Jun</t>
  </si>
  <si>
    <t>Jul</t>
  </si>
  <si>
    <t>Aug</t>
  </si>
  <si>
    <t>Sep</t>
  </si>
  <si>
    <t>Oct</t>
  </si>
  <si>
    <t>Nov</t>
  </si>
  <si>
    <t>Dec</t>
  </si>
  <si>
    <t>2024Actual</t>
  </si>
  <si>
    <t>2025Actual</t>
  </si>
  <si>
    <t>2026Actual</t>
  </si>
  <si>
    <t>Outlet</t>
  </si>
  <si>
    <t>Type</t>
  </si>
  <si>
    <t>Location</t>
  </si>
  <si>
    <t>Year</t>
  </si>
  <si>
    <t>MonthNum</t>
  </si>
  <si>
    <t>Sqm</t>
  </si>
  <si>
    <t>ATV</t>
  </si>
  <si>
    <t>Output</t>
  </si>
  <si>
    <t>Full year sales</t>
  </si>
  <si>
    <t>Metric</t>
  </si>
  <si>
    <t>Total Transactions</t>
  </si>
  <si>
    <t>(2026 is Jan-Jun only, so full-year 2026 is not comparable)</t>
  </si>
  <si>
    <t>YTD Jan-Jun (like-for-like)</t>
  </si>
  <si>
    <t>YoY 25v24</t>
  </si>
  <si>
    <t>YoY 26v25</t>
  </si>
  <si>
    <t>YTD Sales</t>
  </si>
  <si>
    <t>YTD Transactions</t>
  </si>
  <si>
    <t>YTD ATV</t>
  </si>
  <si>
    <t>YTD Passengers</t>
  </si>
  <si>
    <t>Spend per passenger</t>
  </si>
  <si>
    <t>Monthly total sales</t>
  </si>
  <si>
    <t>Outlet performance (YTD Jan-Jun)</t>
  </si>
  <si>
    <t>Size m2</t>
  </si>
  <si>
    <t>Sales 2024</t>
  </si>
  <si>
    <t>Sales 2025</t>
  </si>
  <si>
    <t>Sales 2026</t>
  </si>
  <si>
    <t>Txns 2026</t>
  </si>
  <si>
    <t>ATV 2026</t>
  </si>
  <si>
    <t>Sales/m2 2026</t>
  </si>
  <si>
    <t>Total</t>
  </si>
  <si>
    <t>Selected outlet monthly sales</t>
  </si>
  <si>
    <t>Outlet:</t>
  </si>
  <si>
    <t>Catering Dashboard</t>
  </si>
  <si>
    <t>Monthly sales, Jan 2024 - Jun 2026. Figures link to the Output tab.</t>
  </si>
  <si>
    <t>Headline (YTD Jan-Jun 2026)</t>
  </si>
  <si>
    <t>YoY vs 2025</t>
  </si>
  <si>
    <t>Key findings</t>
  </si>
  <si>
    <t>- Catering sales are growing but slowing. On a like-for-like Jan-Jun basis, sales went from £10.0m (2024) to £13.3m (2025, +32%) to £14.4m (2026, +9%). I compared Jan-Jun only because 2026 has no data past June.</t>
  </si>
  <si>
    <t>- North Kitchen is by far the biggest outlet (about £8.2m YTD 2026, over half of all sales) and is still growing.</t>
  </si>
  <si>
    <t>- Terminal Kitchen is the only outlet going backwards (£2.4m -&gt; £2.2m -&gt; £1.9m YTD). Its transactions dropped sharply in Jan-Feb 2026, which is worth looking into.</t>
  </si>
  <si>
    <t>- The two newer outlets (Gate Bistro from Dec 2024, Sky Deli from May 2025) add most of the growth, so underlying growth in existing outlets is smaller.</t>
  </si>
  <si>
    <t>- One likely data error: Terminal Kitchen Aug-2024 shows £5.16m with an ATV around £134 (roughly 10x normal). I left it in but flagged it; it doesn't affect the Jan-Jun comparison.</t>
  </si>
  <si>
    <t>(Use dropdown)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</si>
</sst>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
    <numFmt numFmtId="166" formatCode="0.0%"/>
  </numFmts>
  <fonts count="8" x14ac:knownFonts="1">
    <font>
      <sz val="11"/>
      <color theme="1"/>
      <name val="Aptos Narrow"/>
      <family val="2"/>
      <charset val="1"/>
    </font>
    <font>
      <b/>
      <u/>
      <sz val="11"/>
      <color theme="1"/>
      <name val="Aptos Narrow"/>
      <family val="2"/>
      <charset val="1"/>
    </font>
    <font>
      <sz val="9"/>
      <color rgb="FF000000"/>
      <name val="Arial"/>
      <family val="2"/>
      <charset val="1"/>
    </font>
    <font>
      <b/>
      <sz val="11"/>
      <name val="Cambria"/>
      <family val="1"/>
    </font>
    <font>
      <b/>
      <sz val="12"/>
      <name val="Cambria"/>
      <family val="1"/>
    </font>
    <font>
      <i/>
      <sz val="9"/>
      <name val="Cambria"/>
      <family val="1"/>
    </font>
    <font>
      <b/>
      <sz val="14"/>
      <name val="Cambria"/>
      <family val="1"/>
    </font>
    <font>
      <sz val="9"/>
      <name val="Cambria"/>
      <family val="1"/>
    </font>
  </fonts>
  <fills count="3">
    <fill>
      <patternFill patternType="none"/>
    </fill>
    <fill>
      <patternFill patternType="gray125"/>
    </fill>
    <fill>
      <patternFill patternType="solid">
        <fgColor rgb="FFE9F2FB"/>
        <bgColor rgb="FFCC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2" fillId="0" borderId="0" xfId="0" applyFont="1" applyAlignment="1">
      <alignment horizontal="left" vertical="top"/>
    </xf>
    <xf numFmtId="0" fontId="1" fillId="0" borderId="0" xfId="0" applyFont="1"/>
    <xf numFmtId="0" fontId="0" fillId="0" borderId="0" xfId="0" applyAlignment="1">
      <alignment vertical="top" wrapText="1"/>
    </xf>
    <xf numFmtId="0" fontId="2" fillId="0" borderId="0" xfId="0" applyFont="1" applyAlignment="1">
      <alignment horizontal="left"/>
    </xf>
    <xf numFmtId="3" fontId="2" fillId="0" borderId="0" xfId="0" applyNumberFormat="1" applyFont="1" applyAlignment="1">
      <alignment horizontal="left" vertical="top"/>
    </xf>
    <xf numFmtId="0" fontId="3" fillId="0" borderId="0" xfId="0" applyFont="1"/>
    <xf numFmtId="3" fontId="0" fillId="0" borderId="0" xfId="0" applyNumberFormat="1"/>
    <xf numFmtId="164" fontId="0" fillId="0" borderId="0" xfId="0" applyNumberFormat="1"/>
    <xf numFmtId="165" fontId="0" fillId="0" borderId="0" xfId="0" applyNumberFormat="1"/>
    <xf numFmtId="0" fontId="4" fillId="0" borderId="0" xfId="0" applyFont="1"/>
    <xf numFmtId="0" fontId="5" fillId="0" borderId="0" xfId="0" applyFont="1"/>
    <xf numFmtId="166" fontId="0" fillId="0" borderId="0" xfId="0" applyNumberFormat="1"/>
    <xf numFmtId="164" fontId="3" fillId="0" borderId="0" xfId="0" applyNumberFormat="1" applyFont="1"/>
    <xf numFmtId="3" fontId="3" fillId="0" borderId="0" xfId="0" applyNumberFormat="1" applyFont="1"/>
    <xf numFmtId="0" fontId="6" fillId="0" borderId="0" xfId="0" applyFont="1"/>
    <xf numFmtId="0" fontId="7" fillId="0" borderId="0" xfId="0" applyFont="1"/>
    <xf numFmtId="0" fontId="2" fillId="0" borderId="0" xfId="0" applyFont="1" applyAlignment="1">
      <alignment horizontal="left" vertical="top"/>
    </xf>
    <xf numFmtId="0" fontId="0" fillId="0" borderId="1" xfId="0" applyBorder="1" applyAlignment="1">
      <alignment horizontal="left" vertical="top" wrapText="1"/>
    </xf>
    <xf numFmtId="0" fontId="0" fillId="2"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E9F2FB"/>
      <rgbColor rgb="FFFF0000"/>
      <rgbColor rgb="FF00FF00"/>
      <rgbColor rgb="FF0000FF"/>
      <rgbColor rgb="FFFFFF00"/>
      <rgbColor rgb="FFFF00FF"/>
      <rgbColor rgb="FF00FFFF"/>
      <rgbColor rgb="FF800000"/>
      <rgbColor rgb="FF196B24"/>
      <rgbColor rgb="FF000080"/>
      <rgbColor rgb="FF808000"/>
      <rgbColor rgb="FF800080"/>
      <rgbColor rgb="FF156082"/>
      <rgbColor rgb="FFC0C0C0"/>
      <rgbColor rgb="FF8B8B8B"/>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97132"/>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Aptos Narrow"/>
              </a:defRPr>
            </a:pPr>
            <a:r>
              <a:rPr lang="en-GB" sz="1800" b="1" strike="noStrike" spc="-1">
                <a:solidFill>
                  <a:srgbClr val="000000"/>
                </a:solidFill>
                <a:latin typeface="Aptos Narrow"/>
              </a:rPr>
              <a:t>Monthly total sales by year</a:t>
            </a:r>
          </a:p>
        </c:rich>
      </c:tx>
      <c:overlay val="0"/>
      <c:spPr>
        <a:noFill/>
        <a:ln w="0">
          <a:noFill/>
        </a:ln>
      </c:spPr>
    </c:title>
    <c:autoTitleDeleted val="0"/>
    <c:plotArea>
      <c:layout/>
      <c:lineChart>
        <c:grouping val="standard"/>
        <c:varyColors val="0"/>
        <c:ser>
          <c:idx val="0"/>
          <c:order val="0"/>
          <c:tx>
            <c:strRef>
              <c:f>Output!$B$19</c:f>
              <c:strCache>
                <c:ptCount val="1"/>
                <c:pt idx="0">
                  <c:v>2024</c:v>
                </c:pt>
              </c:strCache>
            </c:strRef>
          </c:tx>
          <c:spPr>
            <a:ln w="38160">
              <a:solidFill>
                <a:srgbClr val="15608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Output!$A$20:$A$31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Output!$B$20:$B$31</c:f>
              <c:numCache>
                <c:formatCode>\£#,##0</c:formatCode>
                <c:ptCount val="12"/>
                <c:pt idx="0">
                  <c:v>1285199.1100000001</c:v>
                </c:pt>
                <c:pt idx="1">
                  <c:v>1191468.21</c:v>
                </c:pt>
                <c:pt idx="2">
                  <c:v>1320726.6399999999</c:v>
                </c:pt>
                <c:pt idx="3">
                  <c:v>1632518.7999999998</c:v>
                </c:pt>
                <c:pt idx="4">
                  <c:v>2066828.92</c:v>
                </c:pt>
                <c:pt idx="5">
                  <c:v>2551417.66</c:v>
                </c:pt>
                <c:pt idx="6">
                  <c:v>2006916.7000000002</c:v>
                </c:pt>
                <c:pt idx="7">
                  <c:v>6760699.8900000006</c:v>
                </c:pt>
                <c:pt idx="8">
                  <c:v>2056802.34</c:v>
                </c:pt>
                <c:pt idx="9">
                  <c:v>1751863.6600000001</c:v>
                </c:pt>
                <c:pt idx="10">
                  <c:v>1786598.87</c:v>
                </c:pt>
                <c:pt idx="11">
                  <c:v>2083333.6300000001</c:v>
                </c:pt>
              </c:numCache>
            </c:numRef>
          </c:val>
          <c:smooth val="1"/>
          <c:extLst>
            <c:ext xmlns:c16="http://schemas.microsoft.com/office/drawing/2014/chart" uri="{C3380CC4-5D6E-409C-BE32-E72D297353CC}">
              <c16:uniqueId val="{00000000-8AF5-47CB-826F-1BC0CF425667}"/>
            </c:ext>
          </c:extLst>
        </c:ser>
        <c:ser>
          <c:idx val="1"/>
          <c:order val="1"/>
          <c:tx>
            <c:strRef>
              <c:f>Output!$C$19</c:f>
              <c:strCache>
                <c:ptCount val="1"/>
                <c:pt idx="0">
                  <c:v>2025</c:v>
                </c:pt>
              </c:strCache>
            </c:strRef>
          </c:tx>
          <c:spPr>
            <a:ln w="38160">
              <a:solidFill>
                <a:srgbClr val="E9713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Output!$A$20:$A$31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Output!$C$20:$C$31</c:f>
              <c:numCache>
                <c:formatCode>\£#,##0</c:formatCode>
                <c:ptCount val="12"/>
                <c:pt idx="0">
                  <c:v>1513724.51</c:v>
                </c:pt>
                <c:pt idx="1">
                  <c:v>1733221.9300000002</c:v>
                </c:pt>
                <c:pt idx="2">
                  <c:v>1760224.3699999999</c:v>
                </c:pt>
                <c:pt idx="3">
                  <c:v>2526490.91</c:v>
                </c:pt>
                <c:pt idx="4">
                  <c:v>2629319.2400000002</c:v>
                </c:pt>
                <c:pt idx="5">
                  <c:v>3092476.6</c:v>
                </c:pt>
                <c:pt idx="6">
                  <c:v>3296520.66</c:v>
                </c:pt>
                <c:pt idx="7">
                  <c:v>2435490.9699999997</c:v>
                </c:pt>
                <c:pt idx="8">
                  <c:v>3227304.6</c:v>
                </c:pt>
                <c:pt idx="9">
                  <c:v>2847320.2199999997</c:v>
                </c:pt>
                <c:pt idx="10">
                  <c:v>2064020.8</c:v>
                </c:pt>
                <c:pt idx="11">
                  <c:v>2146315.17</c:v>
                </c:pt>
              </c:numCache>
            </c:numRef>
          </c:val>
          <c:smooth val="1"/>
          <c:extLst>
            <c:ext xmlns:c16="http://schemas.microsoft.com/office/drawing/2014/chart" uri="{C3380CC4-5D6E-409C-BE32-E72D297353CC}">
              <c16:uniqueId val="{00000001-8AF5-47CB-826F-1BC0CF425667}"/>
            </c:ext>
          </c:extLst>
        </c:ser>
        <c:ser>
          <c:idx val="2"/>
          <c:order val="2"/>
          <c:tx>
            <c:strRef>
              <c:f>Output!$D$19</c:f>
              <c:strCache>
                <c:ptCount val="1"/>
                <c:pt idx="0">
                  <c:v>2026</c:v>
                </c:pt>
              </c:strCache>
            </c:strRef>
          </c:tx>
          <c:spPr>
            <a:ln w="38160">
              <a:solidFill>
                <a:srgbClr val="196B2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Output!$A$20:$A$31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Output!$D$20:$D$31</c:f>
              <c:numCache>
                <c:formatCode>\£#,##0</c:formatCode>
                <c:ptCount val="12"/>
                <c:pt idx="0">
                  <c:v>2109073.5300000003</c:v>
                </c:pt>
                <c:pt idx="1">
                  <c:v>1827374.84</c:v>
                </c:pt>
                <c:pt idx="2">
                  <c:v>2276394.0700000003</c:v>
                </c:pt>
                <c:pt idx="3">
                  <c:v>2184653.8899999997</c:v>
                </c:pt>
                <c:pt idx="4">
                  <c:v>3190270.9</c:v>
                </c:pt>
                <c:pt idx="5">
                  <c:v>2833991.17</c:v>
                </c:pt>
              </c:numCache>
            </c:numRef>
          </c:val>
          <c:smooth val="1"/>
          <c:extLst>
            <c:ext xmlns:c16="http://schemas.microsoft.com/office/drawing/2014/chart" uri="{C3380CC4-5D6E-409C-BE32-E72D297353CC}">
              <c16:uniqueId val="{00000002-8AF5-47CB-826F-1BC0CF425667}"/>
            </c:ext>
          </c:extLst>
        </c:ser>
        <c:dLbls>
          <c:showLegendKey val="0"/>
          <c:showVal val="0"/>
          <c:showCatName val="0"/>
          <c:showSerName val="0"/>
          <c:showPercent val="0"/>
          <c:showBubbleSize val="0"/>
        </c:dLbls>
        <c:hiLowLines>
          <c:spPr>
            <a:ln w="0">
              <a:noFill/>
            </a:ln>
          </c:spPr>
        </c:hiLowLines>
        <c:smooth val="0"/>
        <c:axId val="93091252"/>
        <c:axId val="6972323"/>
      </c:lineChart>
      <c:catAx>
        <c:axId val="93091252"/>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6972323"/>
        <c:crosses val="autoZero"/>
        <c:auto val="1"/>
        <c:lblAlgn val="ctr"/>
        <c:lblOffset val="100"/>
        <c:noMultiLvlLbl val="0"/>
      </c:catAx>
      <c:valAx>
        <c:axId val="6972323"/>
        <c:scaling>
          <c:orientation val="minMax"/>
        </c:scaling>
        <c:delete val="0"/>
        <c:axPos val="l"/>
        <c:majorGridlines>
          <c:spPr>
            <a:ln w="12600">
              <a:solidFill>
                <a:srgbClr val="8B8B8B"/>
              </a:solidFill>
              <a:round/>
            </a:ln>
          </c:spPr>
        </c:majorGridlines>
        <c:numFmt formatCode="\£#,##0"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9309125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Aptos Narrow"/>
              </a:defRPr>
            </a:pPr>
            <a:r>
              <a:rPr lang="en-GB" sz="1800" b="1" strike="noStrike" spc="-1">
                <a:solidFill>
                  <a:srgbClr val="000000"/>
                </a:solidFill>
                <a:latin typeface="Aptos Narrow"/>
              </a:rPr>
              <a:t>YTD sales by outlet</a:t>
            </a:r>
          </a:p>
        </c:rich>
      </c:tx>
      <c:overlay val="0"/>
      <c:spPr>
        <a:noFill/>
        <a:ln w="0">
          <a:noFill/>
        </a:ln>
      </c:spPr>
    </c:title>
    <c:autoTitleDeleted val="0"/>
    <c:plotArea>
      <c:layout/>
      <c:barChart>
        <c:barDir val="col"/>
        <c:grouping val="clustered"/>
        <c:varyColors val="0"/>
        <c:ser>
          <c:idx val="0"/>
          <c:order val="0"/>
          <c:tx>
            <c:strRef>
              <c:f>Output!$E$35</c:f>
              <c:strCache>
                <c:ptCount val="1"/>
                <c:pt idx="0">
                  <c:v>Sales 2024</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Output!$A$36:$A$40</c:f>
              <c:strCache>
                <c:ptCount val="5"/>
                <c:pt idx="0">
                  <c:v>Gate Bistro</c:v>
                </c:pt>
                <c:pt idx="1">
                  <c:v>Terminal Kitchen</c:v>
                </c:pt>
                <c:pt idx="2">
                  <c:v>Oak Coffee Bar</c:v>
                </c:pt>
                <c:pt idx="3">
                  <c:v>Sky Deli</c:v>
                </c:pt>
                <c:pt idx="4">
                  <c:v>North Kitchen</c:v>
                </c:pt>
              </c:strCache>
            </c:strRef>
          </c:cat>
          <c:val>
            <c:numRef>
              <c:f>Output!$E$36:$E$40</c:f>
              <c:numCache>
                <c:formatCode>\£#,##0</c:formatCode>
                <c:ptCount val="5"/>
                <c:pt idx="0">
                  <c:v>0</c:v>
                </c:pt>
                <c:pt idx="1">
                  <c:v>2383579.5099999998</c:v>
                </c:pt>
                <c:pt idx="2">
                  <c:v>766717.72000000009</c:v>
                </c:pt>
                <c:pt idx="3">
                  <c:v>0</c:v>
                </c:pt>
                <c:pt idx="4">
                  <c:v>6897862.1099999994</c:v>
                </c:pt>
              </c:numCache>
            </c:numRef>
          </c:val>
          <c:extLst>
            <c:ext xmlns:c16="http://schemas.microsoft.com/office/drawing/2014/chart" uri="{C3380CC4-5D6E-409C-BE32-E72D297353CC}">
              <c16:uniqueId val="{00000000-BCC3-4495-BB30-5B4B4CBFD263}"/>
            </c:ext>
          </c:extLst>
        </c:ser>
        <c:ser>
          <c:idx val="1"/>
          <c:order val="1"/>
          <c:tx>
            <c:strRef>
              <c:f>Output!$F$35</c:f>
              <c:strCache>
                <c:ptCount val="1"/>
                <c:pt idx="0">
                  <c:v>Sales 2025</c:v>
                </c:pt>
              </c:strCache>
            </c:strRef>
          </c:tx>
          <c:spPr>
            <a:solidFill>
              <a:srgbClr val="E9713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Output!$A$36:$A$40</c:f>
              <c:strCache>
                <c:ptCount val="5"/>
                <c:pt idx="0">
                  <c:v>Gate Bistro</c:v>
                </c:pt>
                <c:pt idx="1">
                  <c:v>Terminal Kitchen</c:v>
                </c:pt>
                <c:pt idx="2">
                  <c:v>Oak Coffee Bar</c:v>
                </c:pt>
                <c:pt idx="3">
                  <c:v>Sky Deli</c:v>
                </c:pt>
                <c:pt idx="4">
                  <c:v>North Kitchen</c:v>
                </c:pt>
              </c:strCache>
            </c:strRef>
          </c:cat>
          <c:val>
            <c:numRef>
              <c:f>Output!$F$36:$F$40</c:f>
              <c:numCache>
                <c:formatCode>\£#,##0</c:formatCode>
                <c:ptCount val="5"/>
                <c:pt idx="0">
                  <c:v>1868250.57</c:v>
                </c:pt>
                <c:pt idx="1">
                  <c:v>2189201.6100000003</c:v>
                </c:pt>
                <c:pt idx="2">
                  <c:v>1494078.67</c:v>
                </c:pt>
                <c:pt idx="3">
                  <c:v>430677.82</c:v>
                </c:pt>
                <c:pt idx="4">
                  <c:v>7273248.8899999997</c:v>
                </c:pt>
              </c:numCache>
            </c:numRef>
          </c:val>
          <c:extLst>
            <c:ext xmlns:c16="http://schemas.microsoft.com/office/drawing/2014/chart" uri="{C3380CC4-5D6E-409C-BE32-E72D297353CC}">
              <c16:uniqueId val="{00000001-BCC3-4495-BB30-5B4B4CBFD263}"/>
            </c:ext>
          </c:extLst>
        </c:ser>
        <c:ser>
          <c:idx val="2"/>
          <c:order val="2"/>
          <c:tx>
            <c:strRef>
              <c:f>Output!$G$35</c:f>
              <c:strCache>
                <c:ptCount val="1"/>
                <c:pt idx="0">
                  <c:v>Sales 2026</c:v>
                </c:pt>
              </c:strCache>
            </c:strRef>
          </c:tx>
          <c:spPr>
            <a:solidFill>
              <a:srgbClr val="196B2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Output!$A$36:$A$40</c:f>
              <c:strCache>
                <c:ptCount val="5"/>
                <c:pt idx="0">
                  <c:v>Gate Bistro</c:v>
                </c:pt>
                <c:pt idx="1">
                  <c:v>Terminal Kitchen</c:v>
                </c:pt>
                <c:pt idx="2">
                  <c:v>Oak Coffee Bar</c:v>
                </c:pt>
                <c:pt idx="3">
                  <c:v>Sky Deli</c:v>
                </c:pt>
                <c:pt idx="4">
                  <c:v>North Kitchen</c:v>
                </c:pt>
              </c:strCache>
            </c:strRef>
          </c:cat>
          <c:val>
            <c:numRef>
              <c:f>Output!$G$36:$G$40</c:f>
              <c:numCache>
                <c:formatCode>\£#,##0</c:formatCode>
                <c:ptCount val="5"/>
                <c:pt idx="0">
                  <c:v>1644137.61</c:v>
                </c:pt>
                <c:pt idx="1">
                  <c:v>1897071.47</c:v>
                </c:pt>
                <c:pt idx="2">
                  <c:v>1871420.7</c:v>
                </c:pt>
                <c:pt idx="3">
                  <c:v>857627.77</c:v>
                </c:pt>
                <c:pt idx="4">
                  <c:v>8151500.8499999996</c:v>
                </c:pt>
              </c:numCache>
            </c:numRef>
          </c:val>
          <c:extLst>
            <c:ext xmlns:c16="http://schemas.microsoft.com/office/drawing/2014/chart" uri="{C3380CC4-5D6E-409C-BE32-E72D297353CC}">
              <c16:uniqueId val="{00000002-BCC3-4495-BB30-5B4B4CBFD263}"/>
            </c:ext>
          </c:extLst>
        </c:ser>
        <c:dLbls>
          <c:showLegendKey val="0"/>
          <c:showVal val="0"/>
          <c:showCatName val="0"/>
          <c:showSerName val="0"/>
          <c:showPercent val="0"/>
          <c:showBubbleSize val="0"/>
        </c:dLbls>
        <c:gapWidth val="150"/>
        <c:axId val="22870545"/>
        <c:axId val="72358567"/>
      </c:barChart>
      <c:catAx>
        <c:axId val="22870545"/>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72358567"/>
        <c:crosses val="autoZero"/>
        <c:auto val="1"/>
        <c:lblAlgn val="ctr"/>
        <c:lblOffset val="100"/>
        <c:noMultiLvlLbl val="0"/>
      </c:catAx>
      <c:valAx>
        <c:axId val="72358567"/>
        <c:scaling>
          <c:orientation val="minMax"/>
        </c:scaling>
        <c:delete val="0"/>
        <c:axPos val="l"/>
        <c:majorGridlines>
          <c:spPr>
            <a:ln w="12600">
              <a:solidFill>
                <a:srgbClr val="8B8B8B"/>
              </a:solidFill>
              <a:round/>
            </a:ln>
          </c:spPr>
        </c:majorGridlines>
        <c:numFmt formatCode="\£#,##0"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2287054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Aptos Narrow"/>
              </a:defRPr>
            </a:pPr>
            <a:r>
              <a:rPr lang="en-GB" sz="1800" b="1" strike="noStrike" spc="-1">
                <a:solidFill>
                  <a:srgbClr val="000000"/>
                </a:solidFill>
                <a:latin typeface="Aptos Narrow"/>
              </a:rPr>
              <a:t>Selected outlet monthly sales</a:t>
            </a:r>
          </a:p>
        </c:rich>
      </c:tx>
      <c:overlay val="0"/>
      <c:spPr>
        <a:noFill/>
        <a:ln w="0">
          <a:noFill/>
        </a:ln>
      </c:spPr>
    </c:title>
    <c:autoTitleDeleted val="0"/>
    <c:plotArea>
      <c:layout/>
      <c:lineChart>
        <c:grouping val="standard"/>
        <c:varyColors val="0"/>
        <c:ser>
          <c:idx val="0"/>
          <c:order val="0"/>
          <c:tx>
            <c:strRef>
              <c:f>Output!$B$46</c:f>
              <c:strCache>
                <c:ptCount val="1"/>
                <c:pt idx="0">
                  <c:v>2024</c:v>
                </c:pt>
              </c:strCache>
            </c:strRef>
          </c:tx>
          <c:spPr>
            <a:ln w="38160">
              <a:solidFill>
                <a:srgbClr val="15608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Output!$A$47:$A$58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Output!$B$47:$B$58</c:f>
              <c:numCache>
                <c:formatCode>\£#,##0</c:formatCode>
                <c:ptCount val="12"/>
                <c:pt idx="0">
                  <c:v>0</c:v>
                </c:pt>
                <c:pt idx="1">
                  <c:v>0</c:v>
                </c:pt>
                <c:pt idx="2">
                  <c:v>0</c:v>
                </c:pt>
                <c:pt idx="3">
                  <c:v>0</c:v>
                </c:pt>
                <c:pt idx="4">
                  <c:v>0</c:v>
                </c:pt>
                <c:pt idx="5">
                  <c:v>0</c:v>
                </c:pt>
                <c:pt idx="6">
                  <c:v>0</c:v>
                </c:pt>
                <c:pt idx="7">
                  <c:v>0</c:v>
                </c:pt>
                <c:pt idx="8">
                  <c:v>0</c:v>
                </c:pt>
                <c:pt idx="9">
                  <c:v>0</c:v>
                </c:pt>
                <c:pt idx="10">
                  <c:v>0</c:v>
                </c:pt>
                <c:pt idx="11">
                  <c:v>144744.88</c:v>
                </c:pt>
              </c:numCache>
            </c:numRef>
          </c:val>
          <c:smooth val="1"/>
          <c:extLst>
            <c:ext xmlns:c16="http://schemas.microsoft.com/office/drawing/2014/chart" uri="{C3380CC4-5D6E-409C-BE32-E72D297353CC}">
              <c16:uniqueId val="{00000000-5311-4137-A72C-337EDCACF92F}"/>
            </c:ext>
          </c:extLst>
        </c:ser>
        <c:ser>
          <c:idx val="1"/>
          <c:order val="1"/>
          <c:tx>
            <c:strRef>
              <c:f>Output!$C$46</c:f>
              <c:strCache>
                <c:ptCount val="1"/>
                <c:pt idx="0">
                  <c:v>2025</c:v>
                </c:pt>
              </c:strCache>
            </c:strRef>
          </c:tx>
          <c:spPr>
            <a:ln w="38160">
              <a:solidFill>
                <a:srgbClr val="E9713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Output!$A$47:$A$58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Output!$C$47:$C$58</c:f>
              <c:numCache>
                <c:formatCode>\£#,##0</c:formatCode>
                <c:ptCount val="12"/>
                <c:pt idx="0">
                  <c:v>228691.06</c:v>
                </c:pt>
                <c:pt idx="1">
                  <c:v>199814.15</c:v>
                </c:pt>
                <c:pt idx="2">
                  <c:v>333749.49</c:v>
                </c:pt>
                <c:pt idx="3">
                  <c:v>281233.75</c:v>
                </c:pt>
                <c:pt idx="4">
                  <c:v>379231.63</c:v>
                </c:pt>
                <c:pt idx="5">
                  <c:v>445530.49</c:v>
                </c:pt>
                <c:pt idx="6">
                  <c:v>399964.7</c:v>
                </c:pt>
                <c:pt idx="7">
                  <c:v>388876.27</c:v>
                </c:pt>
                <c:pt idx="8">
                  <c:v>399015.51</c:v>
                </c:pt>
                <c:pt idx="9">
                  <c:v>359711.42</c:v>
                </c:pt>
                <c:pt idx="10">
                  <c:v>295193.05</c:v>
                </c:pt>
                <c:pt idx="11">
                  <c:v>289865.46999999997</c:v>
                </c:pt>
              </c:numCache>
            </c:numRef>
          </c:val>
          <c:smooth val="1"/>
          <c:extLst>
            <c:ext xmlns:c16="http://schemas.microsoft.com/office/drawing/2014/chart" uri="{C3380CC4-5D6E-409C-BE32-E72D297353CC}">
              <c16:uniqueId val="{00000001-5311-4137-A72C-337EDCACF92F}"/>
            </c:ext>
          </c:extLst>
        </c:ser>
        <c:ser>
          <c:idx val="2"/>
          <c:order val="2"/>
          <c:tx>
            <c:strRef>
              <c:f>Output!$D$46</c:f>
              <c:strCache>
                <c:ptCount val="1"/>
                <c:pt idx="0">
                  <c:v>2026</c:v>
                </c:pt>
              </c:strCache>
            </c:strRef>
          </c:tx>
          <c:spPr>
            <a:ln w="38160">
              <a:solidFill>
                <a:srgbClr val="196B2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Output!$A$47:$A$58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Output!$D$47:$D$58</c:f>
              <c:numCache>
                <c:formatCode>\£#,##0</c:formatCode>
                <c:ptCount val="12"/>
                <c:pt idx="0">
                  <c:v>292270.14</c:v>
                </c:pt>
                <c:pt idx="1">
                  <c:v>235071.51</c:v>
                </c:pt>
                <c:pt idx="2">
                  <c:v>292012.15999999997</c:v>
                </c:pt>
                <c:pt idx="3">
                  <c:v>233875.49</c:v>
                </c:pt>
                <c:pt idx="4">
                  <c:v>305511.03999999998</c:v>
                </c:pt>
                <c:pt idx="5">
                  <c:v>285397.27</c:v>
                </c:pt>
              </c:numCache>
            </c:numRef>
          </c:val>
          <c:smooth val="1"/>
          <c:extLst>
            <c:ext xmlns:c16="http://schemas.microsoft.com/office/drawing/2014/chart" uri="{C3380CC4-5D6E-409C-BE32-E72D297353CC}">
              <c16:uniqueId val="{00000002-5311-4137-A72C-337EDCACF92F}"/>
            </c:ext>
          </c:extLst>
        </c:ser>
        <c:dLbls>
          <c:showLegendKey val="0"/>
          <c:showVal val="0"/>
          <c:showCatName val="0"/>
          <c:showSerName val="0"/>
          <c:showPercent val="0"/>
          <c:showBubbleSize val="0"/>
        </c:dLbls>
        <c:hiLowLines>
          <c:spPr>
            <a:ln w="0">
              <a:noFill/>
            </a:ln>
          </c:spPr>
        </c:hiLowLines>
        <c:smooth val="0"/>
        <c:axId val="4793197"/>
        <c:axId val="26043552"/>
      </c:lineChart>
      <c:catAx>
        <c:axId val="4793197"/>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26043552"/>
        <c:crosses val="autoZero"/>
        <c:auto val="1"/>
        <c:lblAlgn val="ctr"/>
        <c:lblOffset val="100"/>
        <c:noMultiLvlLbl val="0"/>
      </c:catAx>
      <c:valAx>
        <c:axId val="26043552"/>
        <c:scaling>
          <c:orientation val="minMax"/>
        </c:scaling>
        <c:delete val="0"/>
        <c:axPos val="l"/>
        <c:majorGridlines>
          <c:spPr>
            <a:ln w="12600">
              <a:solidFill>
                <a:srgbClr val="8B8B8B"/>
              </a:solidFill>
              <a:round/>
            </a:ln>
          </c:spPr>
        </c:majorGridlines>
        <c:numFmt formatCode="\£#,##0"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479319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xdr:row>
      <xdr:rowOff>160560</xdr:rowOff>
    </xdr:from>
    <xdr:to>
      <xdr:col>5</xdr:col>
      <xdr:colOff>3300</xdr:colOff>
      <xdr:row>27</xdr:row>
      <xdr:rowOff>2880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295275</xdr:colOff>
      <xdr:row>12</xdr:row>
      <xdr:rowOff>162465</xdr:rowOff>
    </xdr:from>
    <xdr:to>
      <xdr:col>13</xdr:col>
      <xdr:colOff>390735</xdr:colOff>
      <xdr:row>27</xdr:row>
      <xdr:rowOff>2880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28</xdr:row>
      <xdr:rowOff>160560</xdr:rowOff>
    </xdr:from>
    <xdr:to>
      <xdr:col>5</xdr:col>
      <xdr:colOff>3300</xdr:colOff>
      <xdr:row>43</xdr:row>
      <xdr:rowOff>2880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T28"/>
  <sheetViews>
    <sheetView showGridLines="0" zoomScale="85" zoomScaleNormal="85" workbookViewId="0">
      <selection activeCell="B17" sqref="B17:S28"/>
    </sheetView>
  </sheetViews>
  <sheetFormatPr defaultColWidth="8.5546875" defaultRowHeight="14.4" x14ac:dyDescent="0.3"/>
  <sheetData>
    <row r="2" spans="2:20" x14ac:dyDescent="0.3">
      <c r="B2" s="2" t="s">
        <v>0</v>
      </c>
    </row>
    <row r="4" spans="2:20" x14ac:dyDescent="0.3">
      <c r="B4" t="s">
        <v>1</v>
      </c>
    </row>
    <row r="6" spans="2:20" ht="14.25" customHeight="1" x14ac:dyDescent="0.3">
      <c r="B6" s="18" t="s">
        <v>2</v>
      </c>
      <c r="C6" s="18"/>
      <c r="D6" s="18"/>
      <c r="E6" s="18"/>
      <c r="F6" s="18"/>
      <c r="G6" s="18"/>
      <c r="H6" s="18"/>
      <c r="I6" s="18"/>
      <c r="J6" s="18"/>
      <c r="K6" s="18"/>
      <c r="L6" s="18"/>
      <c r="M6" s="18"/>
      <c r="N6" s="18"/>
      <c r="O6" s="18"/>
      <c r="P6" s="18"/>
      <c r="Q6" s="18"/>
      <c r="R6" s="18"/>
      <c r="S6" s="18"/>
      <c r="T6" s="3"/>
    </row>
    <row r="7" spans="2:20" x14ac:dyDescent="0.3">
      <c r="B7" s="18"/>
      <c r="C7" s="18"/>
      <c r="D7" s="18"/>
      <c r="E7" s="18"/>
      <c r="F7" s="18"/>
      <c r="G7" s="18"/>
      <c r="H7" s="18"/>
      <c r="I7" s="18"/>
      <c r="J7" s="18"/>
      <c r="K7" s="18"/>
      <c r="L7" s="18"/>
      <c r="M7" s="18"/>
      <c r="N7" s="18"/>
      <c r="O7" s="18"/>
      <c r="P7" s="18"/>
      <c r="Q7" s="18"/>
      <c r="R7" s="18"/>
      <c r="S7" s="18"/>
      <c r="T7" s="3"/>
    </row>
    <row r="8" spans="2:20" x14ac:dyDescent="0.3">
      <c r="B8" s="18"/>
      <c r="C8" s="18"/>
      <c r="D8" s="18"/>
      <c r="E8" s="18"/>
      <c r="F8" s="18"/>
      <c r="G8" s="18"/>
      <c r="H8" s="18"/>
      <c r="I8" s="18"/>
      <c r="J8" s="18"/>
      <c r="K8" s="18"/>
      <c r="L8" s="18"/>
      <c r="M8" s="18"/>
      <c r="N8" s="18"/>
      <c r="O8" s="18"/>
      <c r="P8" s="18"/>
      <c r="Q8" s="18"/>
      <c r="R8" s="18"/>
      <c r="S8" s="18"/>
      <c r="T8" s="3"/>
    </row>
    <row r="9" spans="2:20" x14ac:dyDescent="0.3">
      <c r="B9" s="18"/>
      <c r="C9" s="18"/>
      <c r="D9" s="18"/>
      <c r="E9" s="18"/>
      <c r="F9" s="18"/>
      <c r="G9" s="18"/>
      <c r="H9" s="18"/>
      <c r="I9" s="18"/>
      <c r="J9" s="18"/>
      <c r="K9" s="18"/>
      <c r="L9" s="18"/>
      <c r="M9" s="18"/>
      <c r="N9" s="18"/>
      <c r="O9" s="18"/>
      <c r="P9" s="18"/>
      <c r="Q9" s="18"/>
      <c r="R9" s="18"/>
      <c r="S9" s="18"/>
      <c r="T9" s="3"/>
    </row>
    <row r="10" spans="2:20" x14ac:dyDescent="0.3">
      <c r="B10" s="18"/>
      <c r="C10" s="18"/>
      <c r="D10" s="18"/>
      <c r="E10" s="18"/>
      <c r="F10" s="18"/>
      <c r="G10" s="18"/>
      <c r="H10" s="18"/>
      <c r="I10" s="18"/>
      <c r="J10" s="18"/>
      <c r="K10" s="18"/>
      <c r="L10" s="18"/>
      <c r="M10" s="18"/>
      <c r="N10" s="18"/>
      <c r="O10" s="18"/>
      <c r="P10" s="18"/>
      <c r="Q10" s="18"/>
      <c r="R10" s="18"/>
      <c r="S10" s="18"/>
      <c r="T10" s="3"/>
    </row>
    <row r="11" spans="2:20" x14ac:dyDescent="0.3">
      <c r="B11" s="18"/>
      <c r="C11" s="18"/>
      <c r="D11" s="18"/>
      <c r="E11" s="18"/>
      <c r="F11" s="18"/>
      <c r="G11" s="18"/>
      <c r="H11" s="18"/>
      <c r="I11" s="18"/>
      <c r="J11" s="18"/>
      <c r="K11" s="18"/>
      <c r="L11" s="18"/>
      <c r="M11" s="18"/>
      <c r="N11" s="18"/>
      <c r="O11" s="18"/>
      <c r="P11" s="18"/>
      <c r="Q11" s="18"/>
      <c r="R11" s="18"/>
      <c r="S11" s="18"/>
      <c r="T11" s="3"/>
    </row>
    <row r="12" spans="2:20" x14ac:dyDescent="0.3">
      <c r="B12" s="18"/>
      <c r="C12" s="18"/>
      <c r="D12" s="18"/>
      <c r="E12" s="18"/>
      <c r="F12" s="18"/>
      <c r="G12" s="18"/>
      <c r="H12" s="18"/>
      <c r="I12" s="18"/>
      <c r="J12" s="18"/>
      <c r="K12" s="18"/>
      <c r="L12" s="18"/>
      <c r="M12" s="18"/>
      <c r="N12" s="18"/>
      <c r="O12" s="18"/>
      <c r="P12" s="18"/>
      <c r="Q12" s="18"/>
      <c r="R12" s="18"/>
      <c r="S12" s="18"/>
      <c r="T12" s="3"/>
    </row>
    <row r="13" spans="2:20" x14ac:dyDescent="0.3">
      <c r="B13" s="18"/>
      <c r="C13" s="18"/>
      <c r="D13" s="18"/>
      <c r="E13" s="18"/>
      <c r="F13" s="18"/>
      <c r="G13" s="18"/>
      <c r="H13" s="18"/>
      <c r="I13" s="18"/>
      <c r="J13" s="18"/>
      <c r="K13" s="18"/>
      <c r="L13" s="18"/>
      <c r="M13" s="18"/>
      <c r="N13" s="18"/>
      <c r="O13" s="18"/>
      <c r="P13" s="18"/>
      <c r="Q13" s="18"/>
      <c r="R13" s="18"/>
      <c r="S13" s="18"/>
      <c r="T13" s="3"/>
    </row>
    <row r="15" spans="2:20" x14ac:dyDescent="0.3">
      <c r="B15" t="s">
        <v>3</v>
      </c>
    </row>
    <row r="17" spans="2:19" ht="14.25" customHeight="1" x14ac:dyDescent="0.3">
      <c r="B17" s="19" t="s">
        <v>4</v>
      </c>
      <c r="C17" s="19"/>
      <c r="D17" s="19"/>
      <c r="E17" s="19"/>
      <c r="F17" s="19"/>
      <c r="G17" s="19"/>
      <c r="H17" s="19"/>
      <c r="I17" s="19"/>
      <c r="J17" s="19"/>
      <c r="K17" s="19"/>
      <c r="L17" s="19"/>
      <c r="M17" s="19"/>
      <c r="N17" s="19"/>
      <c r="O17" s="19"/>
      <c r="P17" s="19"/>
      <c r="Q17" s="19"/>
      <c r="R17" s="19"/>
      <c r="S17" s="19"/>
    </row>
    <row r="18" spans="2:19" x14ac:dyDescent="0.3">
      <c r="B18" s="19"/>
      <c r="C18" s="19"/>
      <c r="D18" s="19"/>
      <c r="E18" s="19"/>
      <c r="F18" s="19"/>
      <c r="G18" s="19"/>
      <c r="H18" s="19"/>
      <c r="I18" s="19"/>
      <c r="J18" s="19"/>
      <c r="K18" s="19"/>
      <c r="L18" s="19"/>
      <c r="M18" s="19"/>
      <c r="N18" s="19"/>
      <c r="O18" s="19"/>
      <c r="P18" s="19"/>
      <c r="Q18" s="19"/>
      <c r="R18" s="19"/>
      <c r="S18" s="19"/>
    </row>
    <row r="19" spans="2:19" x14ac:dyDescent="0.3">
      <c r="B19" s="19"/>
      <c r="C19" s="19"/>
      <c r="D19" s="19"/>
      <c r="E19" s="19"/>
      <c r="F19" s="19"/>
      <c r="G19" s="19"/>
      <c r="H19" s="19"/>
      <c r="I19" s="19"/>
      <c r="J19" s="19"/>
      <c r="K19" s="19"/>
      <c r="L19" s="19"/>
      <c r="M19" s="19"/>
      <c r="N19" s="19"/>
      <c r="O19" s="19"/>
      <c r="P19" s="19"/>
      <c r="Q19" s="19"/>
      <c r="R19" s="19"/>
      <c r="S19" s="19"/>
    </row>
    <row r="20" spans="2:19" x14ac:dyDescent="0.3">
      <c r="B20" s="19"/>
      <c r="C20" s="19"/>
      <c r="D20" s="19"/>
      <c r="E20" s="19"/>
      <c r="F20" s="19"/>
      <c r="G20" s="19"/>
      <c r="H20" s="19"/>
      <c r="I20" s="19"/>
      <c r="J20" s="19"/>
      <c r="K20" s="19"/>
      <c r="L20" s="19"/>
      <c r="M20" s="19"/>
      <c r="N20" s="19"/>
      <c r="O20" s="19"/>
      <c r="P20" s="19"/>
      <c r="Q20" s="19"/>
      <c r="R20" s="19"/>
      <c r="S20" s="19"/>
    </row>
    <row r="21" spans="2:19" x14ac:dyDescent="0.3">
      <c r="B21" s="19"/>
      <c r="C21" s="19"/>
      <c r="D21" s="19"/>
      <c r="E21" s="19"/>
      <c r="F21" s="19"/>
      <c r="G21" s="19"/>
      <c r="H21" s="19"/>
      <c r="I21" s="19"/>
      <c r="J21" s="19"/>
      <c r="K21" s="19"/>
      <c r="L21" s="19"/>
      <c r="M21" s="19"/>
      <c r="N21" s="19"/>
      <c r="O21" s="19"/>
      <c r="P21" s="19"/>
      <c r="Q21" s="19"/>
      <c r="R21" s="19"/>
      <c r="S21" s="19"/>
    </row>
    <row r="22" spans="2:19" x14ac:dyDescent="0.3">
      <c r="B22" s="19"/>
      <c r="C22" s="19"/>
      <c r="D22" s="19"/>
      <c r="E22" s="19"/>
      <c r="F22" s="19"/>
      <c r="G22" s="19"/>
      <c r="H22" s="19"/>
      <c r="I22" s="19"/>
      <c r="J22" s="19"/>
      <c r="K22" s="19"/>
      <c r="L22" s="19"/>
      <c r="M22" s="19"/>
      <c r="N22" s="19"/>
      <c r="O22" s="19"/>
      <c r="P22" s="19"/>
      <c r="Q22" s="19"/>
      <c r="R22" s="19"/>
      <c r="S22" s="19"/>
    </row>
    <row r="23" spans="2:19" x14ac:dyDescent="0.3">
      <c r="B23" s="19"/>
      <c r="C23" s="19"/>
      <c r="D23" s="19"/>
      <c r="E23" s="19"/>
      <c r="F23" s="19"/>
      <c r="G23" s="19"/>
      <c r="H23" s="19"/>
      <c r="I23" s="19"/>
      <c r="J23" s="19"/>
      <c r="K23" s="19"/>
      <c r="L23" s="19"/>
      <c r="M23" s="19"/>
      <c r="N23" s="19"/>
      <c r="O23" s="19"/>
      <c r="P23" s="19"/>
      <c r="Q23" s="19"/>
      <c r="R23" s="19"/>
      <c r="S23" s="19"/>
    </row>
    <row r="24" spans="2:19" x14ac:dyDescent="0.3">
      <c r="B24" s="19"/>
      <c r="C24" s="19"/>
      <c r="D24" s="19"/>
      <c r="E24" s="19"/>
      <c r="F24" s="19"/>
      <c r="G24" s="19"/>
      <c r="H24" s="19"/>
      <c r="I24" s="19"/>
      <c r="J24" s="19"/>
      <c r="K24" s="19"/>
      <c r="L24" s="19"/>
      <c r="M24" s="19"/>
      <c r="N24" s="19"/>
      <c r="O24" s="19"/>
      <c r="P24" s="19"/>
      <c r="Q24" s="19"/>
      <c r="R24" s="19"/>
      <c r="S24" s="19"/>
    </row>
    <row r="25" spans="2:19" x14ac:dyDescent="0.3">
      <c r="B25" s="19"/>
      <c r="C25" s="19"/>
      <c r="D25" s="19"/>
      <c r="E25" s="19"/>
      <c r="F25" s="19"/>
      <c r="G25" s="19"/>
      <c r="H25" s="19"/>
      <c r="I25" s="19"/>
      <c r="J25" s="19"/>
      <c r="K25" s="19"/>
      <c r="L25" s="19"/>
      <c r="M25" s="19"/>
      <c r="N25" s="19"/>
      <c r="O25" s="19"/>
      <c r="P25" s="19"/>
      <c r="Q25" s="19"/>
      <c r="R25" s="19"/>
      <c r="S25" s="19"/>
    </row>
    <row r="26" spans="2:19" x14ac:dyDescent="0.3">
      <c r="B26" s="19"/>
      <c r="C26" s="19"/>
      <c r="D26" s="19"/>
      <c r="E26" s="19"/>
      <c r="F26" s="19"/>
      <c r="G26" s="19"/>
      <c r="H26" s="19"/>
      <c r="I26" s="19"/>
      <c r="J26" s="19"/>
      <c r="K26" s="19"/>
      <c r="L26" s="19"/>
      <c r="M26" s="19"/>
      <c r="N26" s="19"/>
      <c r="O26" s="19"/>
      <c r="P26" s="19"/>
      <c r="Q26" s="19"/>
      <c r="R26" s="19"/>
      <c r="S26" s="19"/>
    </row>
    <row r="27" spans="2:19" x14ac:dyDescent="0.3">
      <c r="B27" s="19"/>
      <c r="C27" s="19"/>
      <c r="D27" s="19"/>
      <c r="E27" s="19"/>
      <c r="F27" s="19"/>
      <c r="G27" s="19"/>
      <c r="H27" s="19"/>
      <c r="I27" s="19"/>
      <c r="J27" s="19"/>
      <c r="K27" s="19"/>
      <c r="L27" s="19"/>
      <c r="M27" s="19"/>
      <c r="N27" s="19"/>
      <c r="O27" s="19"/>
      <c r="P27" s="19"/>
      <c r="Q27" s="19"/>
      <c r="R27" s="19"/>
      <c r="S27" s="19"/>
    </row>
    <row r="28" spans="2:19" x14ac:dyDescent="0.3">
      <c r="B28" s="19"/>
      <c r="C28" s="19"/>
      <c r="D28" s="19"/>
      <c r="E28" s="19"/>
      <c r="F28" s="19"/>
      <c r="G28" s="19"/>
      <c r="H28" s="19"/>
      <c r="I28" s="19"/>
      <c r="J28" s="19"/>
      <c r="K28" s="19"/>
      <c r="L28" s="19"/>
      <c r="M28" s="19"/>
      <c r="N28" s="19"/>
      <c r="O28" s="19"/>
      <c r="P28" s="19"/>
      <c r="Q28" s="19"/>
      <c r="R28" s="19"/>
      <c r="S28" s="19"/>
    </row>
  </sheetData>
  <mergeCells count="2">
    <mergeCell ref="B6:S13"/>
    <mergeCell ref="B17:S28"/>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3"/>
  <sheetViews>
    <sheetView topLeftCell="A115" zoomScaleNormal="100" workbookViewId="0">
      <selection activeCell="Q25" sqref="Q25"/>
    </sheetView>
  </sheetViews>
  <sheetFormatPr defaultColWidth="8.5546875" defaultRowHeight="14.4" x14ac:dyDescent="0.3"/>
  <cols>
    <col min="2" max="2" width="17.88671875" customWidth="1"/>
    <col min="3" max="3" width="10.109375" customWidth="1"/>
    <col min="4" max="4" width="19.109375" customWidth="1"/>
    <col min="5" max="5" width="20.109375" customWidth="1"/>
    <col min="6" max="6" width="10.6640625" customWidth="1"/>
    <col min="7" max="7" width="20.88671875" customWidth="1"/>
    <col min="8" max="8" width="10.6640625" customWidth="1"/>
    <col min="9" max="9" width="11.33203125" customWidth="1"/>
  </cols>
  <sheetData>
    <row r="1" spans="1:9" x14ac:dyDescent="0.3">
      <c r="A1" s="4" t="s">
        <v>5</v>
      </c>
      <c r="B1" s="4" t="s">
        <v>6</v>
      </c>
      <c r="C1" s="4" t="s">
        <v>7</v>
      </c>
      <c r="D1" s="4" t="s">
        <v>8</v>
      </c>
      <c r="E1" s="4" t="s">
        <v>9</v>
      </c>
      <c r="F1" s="4" t="s">
        <v>10</v>
      </c>
      <c r="G1" s="4" t="s">
        <v>11</v>
      </c>
      <c r="H1" s="4" t="s">
        <v>12</v>
      </c>
      <c r="I1" s="4" t="s">
        <v>13</v>
      </c>
    </row>
    <row r="2" spans="1:9" x14ac:dyDescent="0.3">
      <c r="A2" s="17" t="s">
        <v>14</v>
      </c>
      <c r="B2" s="17" t="s">
        <v>15</v>
      </c>
      <c r="C2" s="17" t="s">
        <v>16</v>
      </c>
      <c r="D2" s="1" t="s">
        <v>17</v>
      </c>
      <c r="E2" s="1" t="s">
        <v>18</v>
      </c>
      <c r="F2" s="1" t="s">
        <v>19</v>
      </c>
      <c r="G2" s="1" t="s">
        <v>20</v>
      </c>
      <c r="H2" s="5">
        <v>6930.5960853942897</v>
      </c>
      <c r="I2" s="5">
        <v>144744.87966491401</v>
      </c>
    </row>
    <row r="3" spans="1:9" x14ac:dyDescent="0.3">
      <c r="A3" s="17"/>
      <c r="B3" s="17"/>
      <c r="C3" s="17"/>
      <c r="D3" s="17" t="s">
        <v>21</v>
      </c>
      <c r="E3" s="1" t="s">
        <v>22</v>
      </c>
      <c r="F3" s="1" t="s">
        <v>19</v>
      </c>
      <c r="G3" s="1" t="s">
        <v>20</v>
      </c>
      <c r="H3" s="5">
        <v>9413.0197907501297</v>
      </c>
      <c r="I3" s="5">
        <v>228691.05825276801</v>
      </c>
    </row>
    <row r="4" spans="1:9" x14ac:dyDescent="0.3">
      <c r="A4" s="17"/>
      <c r="B4" s="17"/>
      <c r="C4" s="17"/>
      <c r="D4" s="17"/>
      <c r="E4" s="1" t="s">
        <v>23</v>
      </c>
      <c r="F4" s="1" t="s">
        <v>19</v>
      </c>
      <c r="G4" s="1" t="s">
        <v>20</v>
      </c>
      <c r="H4" s="5">
        <v>17939.191253851899</v>
      </c>
      <c r="I4" s="5">
        <v>199814.14538863199</v>
      </c>
    </row>
    <row r="5" spans="1:9" x14ac:dyDescent="0.3">
      <c r="A5" s="17"/>
      <c r="B5" s="17"/>
      <c r="C5" s="17"/>
      <c r="D5" s="17"/>
      <c r="E5" s="1" t="s">
        <v>24</v>
      </c>
      <c r="F5" s="1" t="s">
        <v>19</v>
      </c>
      <c r="G5" s="1" t="s">
        <v>20</v>
      </c>
      <c r="H5" s="5">
        <v>14655.7151887787</v>
      </c>
      <c r="I5" s="5">
        <v>333749.49067761202</v>
      </c>
    </row>
    <row r="6" spans="1:9" x14ac:dyDescent="0.3">
      <c r="A6" s="17"/>
      <c r="B6" s="17"/>
      <c r="C6" s="17"/>
      <c r="D6" s="17"/>
      <c r="E6" s="1" t="s">
        <v>25</v>
      </c>
      <c r="F6" s="1" t="s">
        <v>19</v>
      </c>
      <c r="G6" s="1" t="s">
        <v>20</v>
      </c>
      <c r="H6" s="5">
        <v>16830.056649848601</v>
      </c>
      <c r="I6" s="5">
        <v>281233.75490716699</v>
      </c>
    </row>
    <row r="7" spans="1:9" x14ac:dyDescent="0.3">
      <c r="A7" s="17"/>
      <c r="B7" s="17"/>
      <c r="C7" s="17"/>
      <c r="D7" s="17"/>
      <c r="E7" s="1" t="s">
        <v>26</v>
      </c>
      <c r="F7" s="1" t="s">
        <v>19</v>
      </c>
      <c r="G7" s="1" t="s">
        <v>20</v>
      </c>
      <c r="H7" s="5">
        <v>26165.642510779398</v>
      </c>
      <c r="I7" s="5">
        <v>379231.62517316901</v>
      </c>
    </row>
    <row r="8" spans="1:9" x14ac:dyDescent="0.3">
      <c r="A8" s="17"/>
      <c r="B8" s="17"/>
      <c r="C8" s="17"/>
      <c r="D8" s="17"/>
      <c r="E8" s="1" t="s">
        <v>27</v>
      </c>
      <c r="F8" s="1" t="s">
        <v>19</v>
      </c>
      <c r="G8" s="1" t="s">
        <v>20</v>
      </c>
      <c r="H8" s="5">
        <v>25846.402845627399</v>
      </c>
      <c r="I8" s="5">
        <v>445530.49462726997</v>
      </c>
    </row>
    <row r="9" spans="1:9" x14ac:dyDescent="0.3">
      <c r="A9" s="17"/>
      <c r="B9" s="17"/>
      <c r="C9" s="17"/>
      <c r="D9" s="17"/>
      <c r="E9" s="1" t="s">
        <v>28</v>
      </c>
      <c r="F9" s="1" t="s">
        <v>19</v>
      </c>
      <c r="G9" s="1" t="s">
        <v>20</v>
      </c>
      <c r="H9" s="5">
        <v>22873.302889926999</v>
      </c>
      <c r="I9" s="5">
        <v>399964.69850277097</v>
      </c>
    </row>
    <row r="10" spans="1:9" x14ac:dyDescent="0.3">
      <c r="A10" s="17"/>
      <c r="B10" s="17"/>
      <c r="C10" s="17"/>
      <c r="D10" s="17"/>
      <c r="E10" s="1" t="s">
        <v>29</v>
      </c>
      <c r="F10" s="1" t="s">
        <v>19</v>
      </c>
      <c r="G10" s="1" t="s">
        <v>20</v>
      </c>
      <c r="H10" s="5">
        <v>17669.770545925599</v>
      </c>
      <c r="I10" s="5">
        <v>388876.26767133398</v>
      </c>
    </row>
    <row r="11" spans="1:9" x14ac:dyDescent="0.3">
      <c r="A11" s="17"/>
      <c r="B11" s="17"/>
      <c r="C11" s="17"/>
      <c r="D11" s="17"/>
      <c r="E11" s="1" t="s">
        <v>30</v>
      </c>
      <c r="F11" s="1" t="s">
        <v>19</v>
      </c>
      <c r="G11" s="1" t="s">
        <v>20</v>
      </c>
      <c r="H11" s="5">
        <v>24593.184162995902</v>
      </c>
      <c r="I11" s="5">
        <v>399015.51314948202</v>
      </c>
    </row>
    <row r="12" spans="1:9" x14ac:dyDescent="0.3">
      <c r="A12" s="17"/>
      <c r="B12" s="17"/>
      <c r="C12" s="17"/>
      <c r="D12" s="17"/>
      <c r="E12" s="1" t="s">
        <v>31</v>
      </c>
      <c r="F12" s="1" t="s">
        <v>19</v>
      </c>
      <c r="G12" s="1" t="s">
        <v>20</v>
      </c>
      <c r="H12" s="5">
        <v>16708.588021351599</v>
      </c>
      <c r="I12" s="5">
        <v>359711.421195334</v>
      </c>
    </row>
    <row r="13" spans="1:9" x14ac:dyDescent="0.3">
      <c r="A13" s="17"/>
      <c r="B13" s="17"/>
      <c r="C13" s="17"/>
      <c r="D13" s="17"/>
      <c r="E13" s="1" t="s">
        <v>32</v>
      </c>
      <c r="F13" s="1" t="s">
        <v>19</v>
      </c>
      <c r="G13" s="1" t="s">
        <v>20</v>
      </c>
      <c r="H13" s="5">
        <v>20735.486645232999</v>
      </c>
      <c r="I13" s="5">
        <v>295193.05056616297</v>
      </c>
    </row>
    <row r="14" spans="1:9" x14ac:dyDescent="0.3">
      <c r="A14" s="17"/>
      <c r="B14" s="17"/>
      <c r="C14" s="17"/>
      <c r="D14" s="17"/>
      <c r="E14" s="1" t="s">
        <v>18</v>
      </c>
      <c r="F14" s="1" t="s">
        <v>19</v>
      </c>
      <c r="G14" s="1" t="s">
        <v>20</v>
      </c>
      <c r="H14" s="5">
        <v>19333.355229995501</v>
      </c>
      <c r="I14" s="5">
        <v>289865.47030739201</v>
      </c>
    </row>
    <row r="15" spans="1:9" x14ac:dyDescent="0.3">
      <c r="A15" s="17"/>
      <c r="B15" s="17"/>
      <c r="C15" s="17"/>
      <c r="D15" s="17" t="s">
        <v>33</v>
      </c>
      <c r="E15" s="1" t="s">
        <v>22</v>
      </c>
      <c r="F15" s="1" t="s">
        <v>19</v>
      </c>
      <c r="G15" s="1" t="s">
        <v>20</v>
      </c>
      <c r="H15" s="5">
        <v>16111.9332638696</v>
      </c>
      <c r="I15" s="5">
        <v>292270.13867830799</v>
      </c>
    </row>
    <row r="16" spans="1:9" x14ac:dyDescent="0.3">
      <c r="A16" s="17"/>
      <c r="B16" s="17"/>
      <c r="C16" s="17"/>
      <c r="D16" s="17"/>
      <c r="E16" s="1" t="s">
        <v>23</v>
      </c>
      <c r="F16" s="1" t="s">
        <v>19</v>
      </c>
      <c r="G16" s="1" t="s">
        <v>20</v>
      </c>
      <c r="H16" s="5">
        <v>15861.7899467315</v>
      </c>
      <c r="I16" s="5">
        <v>235071.51418333501</v>
      </c>
    </row>
    <row r="17" spans="1:9" x14ac:dyDescent="0.3">
      <c r="A17" s="17"/>
      <c r="B17" s="17"/>
      <c r="C17" s="17"/>
      <c r="D17" s="17"/>
      <c r="E17" s="1" t="s">
        <v>24</v>
      </c>
      <c r="F17" s="1" t="s">
        <v>19</v>
      </c>
      <c r="G17" s="1" t="s">
        <v>20</v>
      </c>
      <c r="H17" s="5">
        <v>13741.4865447292</v>
      </c>
      <c r="I17" s="5">
        <v>292012.1602786</v>
      </c>
    </row>
    <row r="18" spans="1:9" x14ac:dyDescent="0.3">
      <c r="A18" s="17"/>
      <c r="B18" s="17"/>
      <c r="C18" s="17"/>
      <c r="D18" s="17"/>
      <c r="E18" s="1" t="s">
        <v>25</v>
      </c>
      <c r="F18" s="1" t="s">
        <v>19</v>
      </c>
      <c r="G18" s="1" t="s">
        <v>20</v>
      </c>
      <c r="H18" s="5">
        <v>16814.742903811599</v>
      </c>
      <c r="I18" s="5">
        <v>233875.49230031899</v>
      </c>
    </row>
    <row r="19" spans="1:9" x14ac:dyDescent="0.3">
      <c r="A19" s="17"/>
      <c r="B19" s="17"/>
      <c r="C19" s="17"/>
      <c r="D19" s="17"/>
      <c r="E19" s="1" t="s">
        <v>26</v>
      </c>
      <c r="F19" s="1" t="s">
        <v>19</v>
      </c>
      <c r="G19" s="1" t="s">
        <v>20</v>
      </c>
      <c r="H19" s="5">
        <v>21858.440579330101</v>
      </c>
      <c r="I19" s="5">
        <v>305511.04094866401</v>
      </c>
    </row>
    <row r="20" spans="1:9" x14ac:dyDescent="0.3">
      <c r="A20" s="17"/>
      <c r="B20" s="17"/>
      <c r="C20" s="17"/>
      <c r="D20" s="17"/>
      <c r="E20" s="1" t="s">
        <v>27</v>
      </c>
      <c r="F20" s="1" t="s">
        <v>19</v>
      </c>
      <c r="G20" s="1" t="s">
        <v>20</v>
      </c>
      <c r="H20" s="5">
        <v>24825.179084607898</v>
      </c>
      <c r="I20" s="5">
        <v>285397.26573736803</v>
      </c>
    </row>
    <row r="21" spans="1:9" x14ac:dyDescent="0.3">
      <c r="A21" s="17"/>
      <c r="B21" s="17" t="s">
        <v>34</v>
      </c>
      <c r="C21" s="17" t="s">
        <v>35</v>
      </c>
      <c r="D21" s="17" t="s">
        <v>17</v>
      </c>
      <c r="E21" s="1" t="s">
        <v>22</v>
      </c>
      <c r="F21" s="1" t="s">
        <v>36</v>
      </c>
      <c r="G21" s="1" t="s">
        <v>37</v>
      </c>
      <c r="H21" s="5">
        <v>29433.736571933099</v>
      </c>
      <c r="I21" s="5">
        <v>283173.55100147298</v>
      </c>
    </row>
    <row r="22" spans="1:9" x14ac:dyDescent="0.3">
      <c r="A22" s="17"/>
      <c r="B22" s="17"/>
      <c r="C22" s="17"/>
      <c r="D22" s="17"/>
      <c r="E22" s="1" t="s">
        <v>23</v>
      </c>
      <c r="F22" s="1" t="s">
        <v>36</v>
      </c>
      <c r="G22" s="1" t="s">
        <v>37</v>
      </c>
      <c r="H22" s="5">
        <v>33870.636792874699</v>
      </c>
      <c r="I22" s="5">
        <v>317239.040220797</v>
      </c>
    </row>
    <row r="23" spans="1:9" x14ac:dyDescent="0.3">
      <c r="A23" s="17"/>
      <c r="B23" s="17"/>
      <c r="C23" s="17"/>
      <c r="D23" s="17"/>
      <c r="E23" s="1" t="s">
        <v>24</v>
      </c>
      <c r="F23" s="1" t="s">
        <v>36</v>
      </c>
      <c r="G23" s="1" t="s">
        <v>37</v>
      </c>
      <c r="H23" s="5">
        <v>25452.3174427007</v>
      </c>
      <c r="I23" s="5">
        <v>406520.300039561</v>
      </c>
    </row>
    <row r="24" spans="1:9" x14ac:dyDescent="0.3">
      <c r="A24" s="17"/>
      <c r="B24" s="17"/>
      <c r="C24" s="17"/>
      <c r="D24" s="17"/>
      <c r="E24" s="1" t="s">
        <v>25</v>
      </c>
      <c r="F24" s="1" t="s">
        <v>36</v>
      </c>
      <c r="G24" s="1" t="s">
        <v>37</v>
      </c>
      <c r="H24" s="5">
        <v>32054.8946887856</v>
      </c>
      <c r="I24" s="5">
        <v>434253.38763066399</v>
      </c>
    </row>
    <row r="25" spans="1:9" x14ac:dyDescent="0.3">
      <c r="A25" s="17"/>
      <c r="B25" s="17"/>
      <c r="C25" s="17"/>
      <c r="D25" s="17"/>
      <c r="E25" s="1" t="s">
        <v>26</v>
      </c>
      <c r="F25" s="1" t="s">
        <v>36</v>
      </c>
      <c r="G25" s="1" t="s">
        <v>37</v>
      </c>
      <c r="H25" s="5">
        <v>33878.082144079497</v>
      </c>
      <c r="I25" s="5">
        <v>348854.70905609999</v>
      </c>
    </row>
    <row r="26" spans="1:9" x14ac:dyDescent="0.3">
      <c r="A26" s="17"/>
      <c r="B26" s="17"/>
      <c r="C26" s="17"/>
      <c r="D26" s="17"/>
      <c r="E26" s="1" t="s">
        <v>27</v>
      </c>
      <c r="F26" s="1" t="s">
        <v>36</v>
      </c>
      <c r="G26" s="1" t="s">
        <v>37</v>
      </c>
      <c r="H26" s="5">
        <v>45283.912536271899</v>
      </c>
      <c r="I26" s="5">
        <v>593538.51750699198</v>
      </c>
    </row>
    <row r="27" spans="1:9" x14ac:dyDescent="0.3">
      <c r="A27" s="17"/>
      <c r="B27" s="17"/>
      <c r="C27" s="17"/>
      <c r="D27" s="17"/>
      <c r="E27" s="1" t="s">
        <v>28</v>
      </c>
      <c r="F27" s="1" t="s">
        <v>36</v>
      </c>
      <c r="G27" s="1" t="s">
        <v>37</v>
      </c>
      <c r="H27" s="5">
        <v>37922.194377171101</v>
      </c>
      <c r="I27" s="5">
        <v>577074.15734839498</v>
      </c>
    </row>
    <row r="28" spans="1:9" x14ac:dyDescent="0.3">
      <c r="A28" s="17"/>
      <c r="B28" s="17"/>
      <c r="C28" s="17"/>
      <c r="D28" s="17"/>
      <c r="E28" s="1" t="s">
        <v>29</v>
      </c>
      <c r="F28" s="1" t="s">
        <v>36</v>
      </c>
      <c r="G28" s="1" t="s">
        <v>37</v>
      </c>
      <c r="H28" s="5">
        <v>38398.113162107104</v>
      </c>
      <c r="I28" s="5">
        <v>5161021.19537389</v>
      </c>
    </row>
    <row r="29" spans="1:9" x14ac:dyDescent="0.3">
      <c r="A29" s="17"/>
      <c r="B29" s="17"/>
      <c r="C29" s="17"/>
      <c r="D29" s="17"/>
      <c r="E29" s="1" t="s">
        <v>30</v>
      </c>
      <c r="F29" s="1" t="s">
        <v>36</v>
      </c>
      <c r="G29" s="1" t="s">
        <v>37</v>
      </c>
      <c r="H29" s="5">
        <v>44501.743627588497</v>
      </c>
      <c r="I29" s="5">
        <v>513874.151316064</v>
      </c>
    </row>
    <row r="30" spans="1:9" x14ac:dyDescent="0.3">
      <c r="A30" s="17"/>
      <c r="B30" s="17"/>
      <c r="C30" s="17"/>
      <c r="D30" s="17"/>
      <c r="E30" s="1" t="s">
        <v>31</v>
      </c>
      <c r="F30" s="1" t="s">
        <v>36</v>
      </c>
      <c r="G30" s="1" t="s">
        <v>37</v>
      </c>
      <c r="H30" s="5">
        <v>39423.333731139202</v>
      </c>
      <c r="I30" s="5">
        <v>393650.66559234401</v>
      </c>
    </row>
    <row r="31" spans="1:9" x14ac:dyDescent="0.3">
      <c r="A31" s="17"/>
      <c r="B31" s="17"/>
      <c r="C31" s="17"/>
      <c r="D31" s="17"/>
      <c r="E31" s="1" t="s">
        <v>32</v>
      </c>
      <c r="F31" s="1" t="s">
        <v>36</v>
      </c>
      <c r="G31" s="1" t="s">
        <v>37</v>
      </c>
      <c r="H31" s="5">
        <v>27129.847613420599</v>
      </c>
      <c r="I31" s="5">
        <v>352104.35312689003</v>
      </c>
    </row>
    <row r="32" spans="1:9" x14ac:dyDescent="0.3">
      <c r="A32" s="17"/>
      <c r="B32" s="17"/>
      <c r="C32" s="17"/>
      <c r="D32" s="17"/>
      <c r="E32" s="1" t="s">
        <v>18</v>
      </c>
      <c r="F32" s="1" t="s">
        <v>36</v>
      </c>
      <c r="G32" s="1" t="s">
        <v>37</v>
      </c>
      <c r="H32" s="5">
        <v>30912.306228432801</v>
      </c>
      <c r="I32" s="5">
        <v>495902.21166261798</v>
      </c>
    </row>
    <row r="33" spans="1:9" x14ac:dyDescent="0.3">
      <c r="A33" s="17"/>
      <c r="B33" s="17"/>
      <c r="C33" s="17"/>
      <c r="D33" s="17" t="s">
        <v>21</v>
      </c>
      <c r="E33" s="1" t="s">
        <v>22</v>
      </c>
      <c r="F33" s="1" t="s">
        <v>36</v>
      </c>
      <c r="G33" s="1" t="s">
        <v>37</v>
      </c>
      <c r="H33" s="5">
        <v>24750.494895424701</v>
      </c>
      <c r="I33" s="5">
        <v>340380.21117523202</v>
      </c>
    </row>
    <row r="34" spans="1:9" x14ac:dyDescent="0.3">
      <c r="A34" s="17"/>
      <c r="B34" s="17"/>
      <c r="C34" s="17"/>
      <c r="D34" s="17"/>
      <c r="E34" s="1" t="s">
        <v>23</v>
      </c>
      <c r="F34" s="1" t="s">
        <v>36</v>
      </c>
      <c r="G34" s="1" t="s">
        <v>37</v>
      </c>
      <c r="H34" s="5">
        <v>26229.900967579899</v>
      </c>
      <c r="I34" s="5">
        <v>252247.115830947</v>
      </c>
    </row>
    <row r="35" spans="1:9" x14ac:dyDescent="0.3">
      <c r="A35" s="17"/>
      <c r="B35" s="17"/>
      <c r="C35" s="17"/>
      <c r="D35" s="17"/>
      <c r="E35" s="1" t="s">
        <v>24</v>
      </c>
      <c r="F35" s="1" t="s">
        <v>36</v>
      </c>
      <c r="G35" s="1" t="s">
        <v>37</v>
      </c>
      <c r="H35" s="5">
        <v>23377.5606772018</v>
      </c>
      <c r="I35" s="5">
        <v>300082.70451779</v>
      </c>
    </row>
    <row r="36" spans="1:9" x14ac:dyDescent="0.3">
      <c r="A36" s="17"/>
      <c r="B36" s="17"/>
      <c r="C36" s="17"/>
      <c r="D36" s="17"/>
      <c r="E36" s="1" t="s">
        <v>25</v>
      </c>
      <c r="F36" s="1" t="s">
        <v>36</v>
      </c>
      <c r="G36" s="1" t="s">
        <v>37</v>
      </c>
      <c r="H36" s="5">
        <v>36302.334606585398</v>
      </c>
      <c r="I36" s="5">
        <v>374099.27061483602</v>
      </c>
    </row>
    <row r="37" spans="1:9" x14ac:dyDescent="0.3">
      <c r="A37" s="17"/>
      <c r="B37" s="17"/>
      <c r="C37" s="17"/>
      <c r="D37" s="17"/>
      <c r="E37" s="1" t="s">
        <v>26</v>
      </c>
      <c r="F37" s="1" t="s">
        <v>36</v>
      </c>
      <c r="G37" s="1" t="s">
        <v>37</v>
      </c>
      <c r="H37" s="5">
        <v>27423.499882354499</v>
      </c>
      <c r="I37" s="5">
        <v>544318.31532599195</v>
      </c>
    </row>
    <row r="38" spans="1:9" x14ac:dyDescent="0.3">
      <c r="A38" s="17"/>
      <c r="B38" s="17"/>
      <c r="C38" s="17"/>
      <c r="D38" s="17"/>
      <c r="E38" s="1" t="s">
        <v>27</v>
      </c>
      <c r="F38" s="1" t="s">
        <v>36</v>
      </c>
      <c r="G38" s="1" t="s">
        <v>37</v>
      </c>
      <c r="H38" s="5">
        <v>35533.292715461197</v>
      </c>
      <c r="I38" s="5">
        <v>378073.99098538398</v>
      </c>
    </row>
    <row r="39" spans="1:9" x14ac:dyDescent="0.3">
      <c r="A39" s="17"/>
      <c r="B39" s="17"/>
      <c r="C39" s="17"/>
      <c r="D39" s="17"/>
      <c r="E39" s="1" t="s">
        <v>28</v>
      </c>
      <c r="F39" s="1" t="s">
        <v>36</v>
      </c>
      <c r="G39" s="1" t="s">
        <v>37</v>
      </c>
      <c r="H39" s="5">
        <v>38449.314515832302</v>
      </c>
      <c r="I39" s="5">
        <v>667405.99922401295</v>
      </c>
    </row>
    <row r="40" spans="1:9" x14ac:dyDescent="0.3">
      <c r="A40" s="17"/>
      <c r="B40" s="17"/>
      <c r="C40" s="17"/>
      <c r="D40" s="17"/>
      <c r="E40" s="1" t="s">
        <v>29</v>
      </c>
      <c r="F40" s="1" t="s">
        <v>36</v>
      </c>
      <c r="G40" s="1" t="s">
        <v>37</v>
      </c>
      <c r="H40" s="5">
        <v>42503.812730099402</v>
      </c>
      <c r="I40" s="5">
        <v>435838.27939024701</v>
      </c>
    </row>
    <row r="41" spans="1:9" x14ac:dyDescent="0.3">
      <c r="A41" s="17"/>
      <c r="B41" s="17"/>
      <c r="C41" s="17"/>
      <c r="D41" s="17"/>
      <c r="E41" s="1" t="s">
        <v>30</v>
      </c>
      <c r="F41" s="1" t="s">
        <v>36</v>
      </c>
      <c r="G41" s="1" t="s">
        <v>37</v>
      </c>
      <c r="H41" s="5">
        <v>32185.790320447199</v>
      </c>
      <c r="I41" s="5">
        <v>433530.69464738201</v>
      </c>
    </row>
    <row r="42" spans="1:9" x14ac:dyDescent="0.3">
      <c r="A42" s="17"/>
      <c r="B42" s="17"/>
      <c r="C42" s="17"/>
      <c r="D42" s="17"/>
      <c r="E42" s="1" t="s">
        <v>31</v>
      </c>
      <c r="F42" s="1" t="s">
        <v>36</v>
      </c>
      <c r="G42" s="1" t="s">
        <v>37</v>
      </c>
      <c r="H42" s="5">
        <v>27045.4208207228</v>
      </c>
      <c r="I42" s="5">
        <v>550834.91810076998</v>
      </c>
    </row>
    <row r="43" spans="1:9" x14ac:dyDescent="0.3">
      <c r="A43" s="17"/>
      <c r="B43" s="17"/>
      <c r="C43" s="17"/>
      <c r="D43" s="17"/>
      <c r="E43" s="1" t="s">
        <v>32</v>
      </c>
      <c r="F43" s="1" t="s">
        <v>36</v>
      </c>
      <c r="G43" s="1" t="s">
        <v>37</v>
      </c>
      <c r="H43" s="5">
        <v>26218.287037480899</v>
      </c>
      <c r="I43" s="5">
        <v>436222.00234966603</v>
      </c>
    </row>
    <row r="44" spans="1:9" x14ac:dyDescent="0.3">
      <c r="A44" s="17"/>
      <c r="B44" s="17"/>
      <c r="C44" s="17"/>
      <c r="D44" s="17"/>
      <c r="E44" s="1" t="s">
        <v>18</v>
      </c>
      <c r="F44" s="1" t="s">
        <v>36</v>
      </c>
      <c r="G44" s="1" t="s">
        <v>37</v>
      </c>
      <c r="H44" s="5">
        <v>29893.869269980802</v>
      </c>
      <c r="I44" s="5">
        <v>393457.78963404201</v>
      </c>
    </row>
    <row r="45" spans="1:9" x14ac:dyDescent="0.3">
      <c r="A45" s="17"/>
      <c r="B45" s="17"/>
      <c r="C45" s="17"/>
      <c r="D45" s="17" t="s">
        <v>33</v>
      </c>
      <c r="E45" s="1" t="s">
        <v>22</v>
      </c>
      <c r="F45" s="1" t="s">
        <v>36</v>
      </c>
      <c r="G45" s="1" t="s">
        <v>37</v>
      </c>
      <c r="H45" s="5">
        <v>4867.3197951695502</v>
      </c>
      <c r="I45" s="5">
        <v>170495.09039242499</v>
      </c>
    </row>
    <row r="46" spans="1:9" x14ac:dyDescent="0.3">
      <c r="A46" s="17"/>
      <c r="B46" s="17"/>
      <c r="C46" s="17"/>
      <c r="D46" s="17"/>
      <c r="E46" s="1" t="s">
        <v>23</v>
      </c>
      <c r="F46" s="1" t="s">
        <v>36</v>
      </c>
      <c r="G46" s="1" t="s">
        <v>37</v>
      </c>
      <c r="H46" s="5">
        <v>4569.3312807672401</v>
      </c>
      <c r="I46" s="5">
        <v>59616.070594608398</v>
      </c>
    </row>
    <row r="47" spans="1:9" x14ac:dyDescent="0.3">
      <c r="A47" s="17"/>
      <c r="B47" s="17"/>
      <c r="C47" s="17"/>
      <c r="D47" s="17"/>
      <c r="E47" s="1" t="s">
        <v>24</v>
      </c>
      <c r="F47" s="1" t="s">
        <v>36</v>
      </c>
      <c r="G47" s="1" t="s">
        <v>37</v>
      </c>
      <c r="H47" s="5">
        <v>28869.731413140202</v>
      </c>
      <c r="I47" s="5">
        <v>291707.19628539798</v>
      </c>
    </row>
    <row r="48" spans="1:9" x14ac:dyDescent="0.3">
      <c r="A48" s="17"/>
      <c r="B48" s="17"/>
      <c r="C48" s="17"/>
      <c r="D48" s="17"/>
      <c r="E48" s="1" t="s">
        <v>25</v>
      </c>
      <c r="F48" s="1" t="s">
        <v>36</v>
      </c>
      <c r="G48" s="1" t="s">
        <v>37</v>
      </c>
      <c r="H48" s="5">
        <v>28258.6140470422</v>
      </c>
      <c r="I48" s="5">
        <v>375911.473550283</v>
      </c>
    </row>
    <row r="49" spans="1:9" x14ac:dyDescent="0.3">
      <c r="A49" s="17"/>
      <c r="B49" s="17"/>
      <c r="C49" s="17"/>
      <c r="D49" s="17"/>
      <c r="E49" s="1" t="s">
        <v>26</v>
      </c>
      <c r="F49" s="1" t="s">
        <v>36</v>
      </c>
      <c r="G49" s="1" t="s">
        <v>37</v>
      </c>
      <c r="H49" s="5">
        <v>38786.127492100903</v>
      </c>
      <c r="I49" s="5">
        <v>447679.43923127401</v>
      </c>
    </row>
    <row r="50" spans="1:9" x14ac:dyDescent="0.3">
      <c r="A50" s="17"/>
      <c r="B50" s="17"/>
      <c r="C50" s="17"/>
      <c r="D50" s="17"/>
      <c r="E50" s="1" t="s">
        <v>27</v>
      </c>
      <c r="F50" s="1" t="s">
        <v>36</v>
      </c>
      <c r="G50" s="1" t="s">
        <v>37</v>
      </c>
      <c r="H50" s="5">
        <v>46790.244915708303</v>
      </c>
      <c r="I50" s="5">
        <v>551662.20393113105</v>
      </c>
    </row>
    <row r="51" spans="1:9" x14ac:dyDescent="0.3">
      <c r="A51" s="17"/>
      <c r="B51" s="17" t="s">
        <v>38</v>
      </c>
      <c r="C51" s="17" t="s">
        <v>16</v>
      </c>
      <c r="D51" s="17" t="s">
        <v>17</v>
      </c>
      <c r="E51" s="1" t="s">
        <v>22</v>
      </c>
      <c r="F51" s="1" t="s">
        <v>39</v>
      </c>
      <c r="G51" s="1" t="s">
        <v>40</v>
      </c>
      <c r="H51" s="5">
        <v>7117.4392181047297</v>
      </c>
      <c r="I51" s="5">
        <v>34077.756920189197</v>
      </c>
    </row>
    <row r="52" spans="1:9" x14ac:dyDescent="0.3">
      <c r="A52" s="17"/>
      <c r="B52" s="17"/>
      <c r="C52" s="17"/>
      <c r="D52" s="17"/>
      <c r="E52" s="1" t="s">
        <v>23</v>
      </c>
      <c r="F52" s="1" t="s">
        <v>39</v>
      </c>
      <c r="G52" s="1" t="s">
        <v>40</v>
      </c>
      <c r="H52" s="5">
        <v>10431.967321788499</v>
      </c>
      <c r="I52" s="5">
        <v>51134.189104585603</v>
      </c>
    </row>
    <row r="53" spans="1:9" x14ac:dyDescent="0.3">
      <c r="A53" s="17"/>
      <c r="B53" s="17"/>
      <c r="C53" s="17"/>
      <c r="D53" s="17"/>
      <c r="E53" s="1" t="s">
        <v>24</v>
      </c>
      <c r="F53" s="1" t="s">
        <v>39</v>
      </c>
      <c r="G53" s="1" t="s">
        <v>40</v>
      </c>
      <c r="H53" s="5">
        <v>14434.869210994</v>
      </c>
      <c r="I53" s="5">
        <v>44332.617678549301</v>
      </c>
    </row>
    <row r="54" spans="1:9" x14ac:dyDescent="0.3">
      <c r="A54" s="17"/>
      <c r="B54" s="17"/>
      <c r="C54" s="17"/>
      <c r="D54" s="17"/>
      <c r="E54" s="1" t="s">
        <v>25</v>
      </c>
      <c r="F54" s="1" t="s">
        <v>39</v>
      </c>
      <c r="G54" s="1" t="s">
        <v>41</v>
      </c>
      <c r="H54" s="5">
        <v>36788.995168162503</v>
      </c>
      <c r="I54" s="5">
        <v>211859.32893927299</v>
      </c>
    </row>
    <row r="55" spans="1:9" x14ac:dyDescent="0.3">
      <c r="A55" s="17"/>
      <c r="B55" s="17"/>
      <c r="C55" s="17"/>
      <c r="D55" s="17"/>
      <c r="E55" s="1" t="s">
        <v>26</v>
      </c>
      <c r="F55" s="1" t="s">
        <v>39</v>
      </c>
      <c r="G55" s="1" t="s">
        <v>41</v>
      </c>
      <c r="H55" s="5">
        <v>64273.106591886302</v>
      </c>
      <c r="I55" s="5">
        <v>221990.66031930101</v>
      </c>
    </row>
    <row r="56" spans="1:9" x14ac:dyDescent="0.3">
      <c r="A56" s="17"/>
      <c r="B56" s="17"/>
      <c r="C56" s="17"/>
      <c r="D56" s="17"/>
      <c r="E56" s="1" t="s">
        <v>27</v>
      </c>
      <c r="F56" s="1" t="s">
        <v>39</v>
      </c>
      <c r="G56" s="1" t="s">
        <v>41</v>
      </c>
      <c r="H56" s="5">
        <v>40992.451514365901</v>
      </c>
      <c r="I56" s="5">
        <v>203323.16426857101</v>
      </c>
    </row>
    <row r="57" spans="1:9" x14ac:dyDescent="0.3">
      <c r="A57" s="17"/>
      <c r="B57" s="17"/>
      <c r="C57" s="17"/>
      <c r="D57" s="17"/>
      <c r="E57" s="1" t="s">
        <v>28</v>
      </c>
      <c r="F57" s="1" t="s">
        <v>39</v>
      </c>
      <c r="G57" s="1" t="s">
        <v>41</v>
      </c>
      <c r="H57" s="5">
        <v>32334.148937958002</v>
      </c>
      <c r="I57" s="5">
        <v>324017.22636824899</v>
      </c>
    </row>
    <row r="58" spans="1:9" x14ac:dyDescent="0.3">
      <c r="A58" s="17"/>
      <c r="B58" s="17"/>
      <c r="C58" s="17"/>
      <c r="D58" s="17"/>
      <c r="E58" s="1" t="s">
        <v>29</v>
      </c>
      <c r="F58" s="1" t="s">
        <v>39</v>
      </c>
      <c r="G58" s="1" t="s">
        <v>41</v>
      </c>
      <c r="H58" s="5">
        <v>34998.211655919797</v>
      </c>
      <c r="I58" s="5">
        <v>230259.69635774399</v>
      </c>
    </row>
    <row r="59" spans="1:9" x14ac:dyDescent="0.3">
      <c r="A59" s="17"/>
      <c r="B59" s="17"/>
      <c r="C59" s="17"/>
      <c r="D59" s="17"/>
      <c r="E59" s="1" t="s">
        <v>30</v>
      </c>
      <c r="F59" s="1" t="s">
        <v>39</v>
      </c>
      <c r="G59" s="1" t="s">
        <v>41</v>
      </c>
      <c r="H59" s="5">
        <v>33384.434893831698</v>
      </c>
      <c r="I59" s="5">
        <v>280727.83303975902</v>
      </c>
    </row>
    <row r="60" spans="1:9" x14ac:dyDescent="0.3">
      <c r="A60" s="17"/>
      <c r="B60" s="17"/>
      <c r="C60" s="17"/>
      <c r="D60" s="17"/>
      <c r="E60" s="1" t="s">
        <v>31</v>
      </c>
      <c r="F60" s="1" t="s">
        <v>39</v>
      </c>
      <c r="G60" s="1" t="s">
        <v>41</v>
      </c>
      <c r="H60" s="5">
        <v>38503.731934787</v>
      </c>
      <c r="I60" s="5">
        <v>231380.47420467201</v>
      </c>
    </row>
    <row r="61" spans="1:9" x14ac:dyDescent="0.3">
      <c r="A61" s="17"/>
      <c r="B61" s="17"/>
      <c r="C61" s="17"/>
      <c r="D61" s="17"/>
      <c r="E61" s="1" t="s">
        <v>32</v>
      </c>
      <c r="F61" s="1" t="s">
        <v>39</v>
      </c>
      <c r="G61" s="1" t="s">
        <v>41</v>
      </c>
      <c r="H61" s="5">
        <v>32772.850659629301</v>
      </c>
      <c r="I61" s="5">
        <v>287377.01958269801</v>
      </c>
    </row>
    <row r="62" spans="1:9" x14ac:dyDescent="0.3">
      <c r="A62" s="17"/>
      <c r="B62" s="17"/>
      <c r="C62" s="17"/>
      <c r="D62" s="17"/>
      <c r="E62" s="1" t="s">
        <v>18</v>
      </c>
      <c r="F62" s="1" t="s">
        <v>39</v>
      </c>
      <c r="G62" s="1" t="s">
        <v>41</v>
      </c>
      <c r="H62" s="5">
        <v>40029.7748207533</v>
      </c>
      <c r="I62" s="5">
        <v>321474.83409252198</v>
      </c>
    </row>
    <row r="63" spans="1:9" x14ac:dyDescent="0.3">
      <c r="A63" s="17"/>
      <c r="B63" s="17"/>
      <c r="C63" s="17"/>
      <c r="D63" s="17" t="s">
        <v>21</v>
      </c>
      <c r="E63" s="1" t="s">
        <v>22</v>
      </c>
      <c r="F63" s="1" t="s">
        <v>39</v>
      </c>
      <c r="G63" s="1" t="s">
        <v>41</v>
      </c>
      <c r="H63" s="5">
        <v>28232.109348755399</v>
      </c>
      <c r="I63" s="5">
        <v>222701.01974668101</v>
      </c>
    </row>
    <row r="64" spans="1:9" x14ac:dyDescent="0.3">
      <c r="A64" s="17"/>
      <c r="B64" s="17"/>
      <c r="C64" s="17"/>
      <c r="D64" s="17"/>
      <c r="E64" s="1" t="s">
        <v>23</v>
      </c>
      <c r="F64" s="1" t="s">
        <v>39</v>
      </c>
      <c r="G64" s="1" t="s">
        <v>41</v>
      </c>
      <c r="H64" s="5">
        <v>35871.175233940499</v>
      </c>
      <c r="I64" s="5">
        <v>192200.14908892999</v>
      </c>
    </row>
    <row r="65" spans="1:9" x14ac:dyDescent="0.3">
      <c r="A65" s="17"/>
      <c r="B65" s="17"/>
      <c r="C65" s="17"/>
      <c r="D65" s="17"/>
      <c r="E65" s="1" t="s">
        <v>24</v>
      </c>
      <c r="F65" s="1" t="s">
        <v>39</v>
      </c>
      <c r="G65" s="1" t="s">
        <v>41</v>
      </c>
      <c r="H65" s="5">
        <v>41222.335615022297</v>
      </c>
      <c r="I65" s="5">
        <v>214085.73709116899</v>
      </c>
    </row>
    <row r="66" spans="1:9" x14ac:dyDescent="0.3">
      <c r="A66" s="17"/>
      <c r="B66" s="17"/>
      <c r="C66" s="17"/>
      <c r="D66" s="17"/>
      <c r="E66" s="1" t="s">
        <v>25</v>
      </c>
      <c r="F66" s="1" t="s">
        <v>39</v>
      </c>
      <c r="G66" s="1" t="s">
        <v>41</v>
      </c>
      <c r="H66" s="5">
        <v>46298.558969116399</v>
      </c>
      <c r="I66" s="5">
        <v>332702.72277619701</v>
      </c>
    </row>
    <row r="67" spans="1:9" x14ac:dyDescent="0.3">
      <c r="A67" s="17"/>
      <c r="B67" s="17"/>
      <c r="C67" s="17"/>
      <c r="D67" s="17"/>
      <c r="E67" s="1" t="s">
        <v>26</v>
      </c>
      <c r="F67" s="1" t="s">
        <v>39</v>
      </c>
      <c r="G67" s="1" t="s">
        <v>41</v>
      </c>
      <c r="H67" s="5">
        <v>43882.967489055503</v>
      </c>
      <c r="I67" s="5">
        <v>288954.44466834603</v>
      </c>
    </row>
    <row r="68" spans="1:9" x14ac:dyDescent="0.3">
      <c r="A68" s="17"/>
      <c r="B68" s="17"/>
      <c r="C68" s="17"/>
      <c r="D68" s="17"/>
      <c r="E68" s="1" t="s">
        <v>27</v>
      </c>
      <c r="F68" s="1" t="s">
        <v>39</v>
      </c>
      <c r="G68" s="1" t="s">
        <v>41</v>
      </c>
      <c r="H68" s="5">
        <v>30463.2537978363</v>
      </c>
      <c r="I68" s="5">
        <v>243434.60480827899</v>
      </c>
    </row>
    <row r="69" spans="1:9" x14ac:dyDescent="0.3">
      <c r="A69" s="17"/>
      <c r="B69" s="17"/>
      <c r="C69" s="17"/>
      <c r="D69" s="17"/>
      <c r="E69" s="1" t="s">
        <v>28</v>
      </c>
      <c r="F69" s="1" t="s">
        <v>39</v>
      </c>
      <c r="G69" s="1" t="s">
        <v>41</v>
      </c>
      <c r="H69" s="5">
        <v>35025.1916707622</v>
      </c>
      <c r="I69" s="5">
        <v>344831.81147166202</v>
      </c>
    </row>
    <row r="70" spans="1:9" x14ac:dyDescent="0.3">
      <c r="A70" s="17"/>
      <c r="B70" s="17"/>
      <c r="C70" s="17"/>
      <c r="D70" s="17"/>
      <c r="E70" s="1" t="s">
        <v>29</v>
      </c>
      <c r="F70" s="1" t="s">
        <v>39</v>
      </c>
      <c r="G70" s="1" t="s">
        <v>41</v>
      </c>
      <c r="H70" s="5">
        <v>50338.166647293001</v>
      </c>
      <c r="I70" s="5">
        <v>291005.42153411399</v>
      </c>
    </row>
    <row r="71" spans="1:9" x14ac:dyDescent="0.3">
      <c r="A71" s="17"/>
      <c r="B71" s="17"/>
      <c r="C71" s="17"/>
      <c r="D71" s="17"/>
      <c r="E71" s="1" t="s">
        <v>30</v>
      </c>
      <c r="F71" s="1" t="s">
        <v>39</v>
      </c>
      <c r="G71" s="1" t="s">
        <v>41</v>
      </c>
      <c r="H71" s="5">
        <v>42654.926864795001</v>
      </c>
      <c r="I71" s="5">
        <v>299268.79525880102</v>
      </c>
    </row>
    <row r="72" spans="1:9" x14ac:dyDescent="0.3">
      <c r="A72" s="17"/>
      <c r="B72" s="17"/>
      <c r="C72" s="17"/>
      <c r="D72" s="17"/>
      <c r="E72" s="1" t="s">
        <v>31</v>
      </c>
      <c r="F72" s="1" t="s">
        <v>39</v>
      </c>
      <c r="G72" s="1" t="s">
        <v>41</v>
      </c>
      <c r="H72" s="5">
        <v>47093.215262802398</v>
      </c>
      <c r="I72" s="5">
        <v>332681.17071096698</v>
      </c>
    </row>
    <row r="73" spans="1:9" x14ac:dyDescent="0.3">
      <c r="A73" s="17"/>
      <c r="B73" s="17"/>
      <c r="C73" s="17"/>
      <c r="D73" s="17"/>
      <c r="E73" s="1" t="s">
        <v>32</v>
      </c>
      <c r="F73" s="1" t="s">
        <v>39</v>
      </c>
      <c r="G73" s="1" t="s">
        <v>41</v>
      </c>
      <c r="H73" s="5">
        <v>29470.8417495182</v>
      </c>
      <c r="I73" s="5">
        <v>263158.113423103</v>
      </c>
    </row>
    <row r="74" spans="1:9" x14ac:dyDescent="0.3">
      <c r="A74" s="17"/>
      <c r="B74" s="17"/>
      <c r="C74" s="17"/>
      <c r="D74" s="17"/>
      <c r="E74" s="1" t="s">
        <v>18</v>
      </c>
      <c r="F74" s="1" t="s">
        <v>39</v>
      </c>
      <c r="G74" s="1" t="s">
        <v>41</v>
      </c>
      <c r="H74" s="5">
        <v>36781.071204932101</v>
      </c>
      <c r="I74" s="5">
        <v>339965.06954469898</v>
      </c>
    </row>
    <row r="75" spans="1:9" x14ac:dyDescent="0.3">
      <c r="A75" s="17"/>
      <c r="B75" s="17"/>
      <c r="C75" s="17"/>
      <c r="D75" s="17" t="s">
        <v>33</v>
      </c>
      <c r="E75" s="1" t="s">
        <v>22</v>
      </c>
      <c r="F75" s="1" t="s">
        <v>39</v>
      </c>
      <c r="G75" s="1" t="s">
        <v>41</v>
      </c>
      <c r="H75" s="5">
        <v>33920.852174383697</v>
      </c>
      <c r="I75" s="5">
        <v>291614.91942078399</v>
      </c>
    </row>
    <row r="76" spans="1:9" x14ac:dyDescent="0.3">
      <c r="A76" s="17"/>
      <c r="B76" s="17"/>
      <c r="C76" s="17"/>
      <c r="D76" s="17"/>
      <c r="E76" s="1" t="s">
        <v>23</v>
      </c>
      <c r="F76" s="1" t="s">
        <v>39</v>
      </c>
      <c r="G76" s="1" t="s">
        <v>41</v>
      </c>
      <c r="H76" s="5">
        <v>36959.048252319197</v>
      </c>
      <c r="I76" s="5">
        <v>223956.63435442201</v>
      </c>
    </row>
    <row r="77" spans="1:9" x14ac:dyDescent="0.3">
      <c r="A77" s="17"/>
      <c r="B77" s="17"/>
      <c r="C77" s="17"/>
      <c r="D77" s="17"/>
      <c r="E77" s="1" t="s">
        <v>24</v>
      </c>
      <c r="F77" s="1" t="s">
        <v>39</v>
      </c>
      <c r="G77" s="1" t="s">
        <v>41</v>
      </c>
      <c r="H77" s="5">
        <v>29910.117376157501</v>
      </c>
      <c r="I77" s="5">
        <v>328867.69399739301</v>
      </c>
    </row>
    <row r="78" spans="1:9" x14ac:dyDescent="0.3">
      <c r="A78" s="17"/>
      <c r="B78" s="17"/>
      <c r="C78" s="17"/>
      <c r="D78" s="17"/>
      <c r="E78" s="1" t="s">
        <v>25</v>
      </c>
      <c r="F78" s="1" t="s">
        <v>39</v>
      </c>
      <c r="G78" s="1" t="s">
        <v>41</v>
      </c>
      <c r="H78" s="5">
        <v>41426.498965958403</v>
      </c>
      <c r="I78" s="5">
        <v>352146.23359562998</v>
      </c>
    </row>
    <row r="79" spans="1:9" x14ac:dyDescent="0.3">
      <c r="A79" s="17"/>
      <c r="B79" s="17"/>
      <c r="C79" s="17"/>
      <c r="D79" s="17"/>
      <c r="E79" s="1" t="s">
        <v>26</v>
      </c>
      <c r="F79" s="1" t="s">
        <v>39</v>
      </c>
      <c r="G79" s="1" t="s">
        <v>41</v>
      </c>
      <c r="H79" s="5">
        <v>36752.7947668298</v>
      </c>
      <c r="I79" s="5">
        <v>409432.95586988499</v>
      </c>
    </row>
    <row r="80" spans="1:9" x14ac:dyDescent="0.3">
      <c r="A80" s="17"/>
      <c r="B80" s="17"/>
      <c r="C80" s="17"/>
      <c r="D80" s="17"/>
      <c r="E80" s="1" t="s">
        <v>27</v>
      </c>
      <c r="F80" s="1" t="s">
        <v>39</v>
      </c>
      <c r="G80" s="1" t="s">
        <v>41</v>
      </c>
      <c r="H80" s="5">
        <v>49368.396973048999</v>
      </c>
      <c r="I80" s="5">
        <v>265402.27167439897</v>
      </c>
    </row>
    <row r="81" spans="1:9" x14ac:dyDescent="0.3">
      <c r="A81" s="17"/>
      <c r="B81" s="17" t="s">
        <v>42</v>
      </c>
      <c r="C81" s="17" t="s">
        <v>35</v>
      </c>
      <c r="D81" s="17" t="s">
        <v>21</v>
      </c>
      <c r="E81" s="1" t="s">
        <v>26</v>
      </c>
      <c r="F81" s="1" t="s">
        <v>19</v>
      </c>
      <c r="G81" s="1" t="s">
        <v>43</v>
      </c>
      <c r="H81" s="5">
        <v>2084.8644010599801</v>
      </c>
      <c r="I81" s="5">
        <v>130359.7563122</v>
      </c>
    </row>
    <row r="82" spans="1:9" x14ac:dyDescent="0.3">
      <c r="A82" s="17"/>
      <c r="B82" s="17"/>
      <c r="C82" s="17"/>
      <c r="D82" s="17"/>
      <c r="E82" s="1" t="s">
        <v>27</v>
      </c>
      <c r="F82" s="1" t="s">
        <v>19</v>
      </c>
      <c r="G82" s="1" t="s">
        <v>43</v>
      </c>
      <c r="H82" s="5">
        <v>6289.9365369966999</v>
      </c>
      <c r="I82" s="5">
        <v>300318.060076906</v>
      </c>
    </row>
    <row r="83" spans="1:9" x14ac:dyDescent="0.3">
      <c r="A83" s="17"/>
      <c r="B83" s="17"/>
      <c r="C83" s="17"/>
      <c r="D83" s="17"/>
      <c r="E83" s="1" t="s">
        <v>28</v>
      </c>
      <c r="F83" s="1" t="s">
        <v>19</v>
      </c>
      <c r="G83" s="1" t="s">
        <v>43</v>
      </c>
      <c r="H83" s="5">
        <v>10722.087025398399</v>
      </c>
      <c r="I83" s="5">
        <v>343370.21984533401</v>
      </c>
    </row>
    <row r="84" spans="1:9" x14ac:dyDescent="0.3">
      <c r="A84" s="17"/>
      <c r="B84" s="17"/>
      <c r="C84" s="17"/>
      <c r="D84" s="17"/>
      <c r="E84" s="1" t="s">
        <v>29</v>
      </c>
      <c r="F84" s="1" t="s">
        <v>19</v>
      </c>
      <c r="G84" s="1" t="s">
        <v>43</v>
      </c>
      <c r="H84" s="5">
        <v>9509.8647399458005</v>
      </c>
      <c r="I84" s="5">
        <v>208213.08502029901</v>
      </c>
    </row>
    <row r="85" spans="1:9" x14ac:dyDescent="0.3">
      <c r="A85" s="17"/>
      <c r="B85" s="17"/>
      <c r="C85" s="17"/>
      <c r="D85" s="17"/>
      <c r="E85" s="1" t="s">
        <v>30</v>
      </c>
      <c r="F85" s="1" t="s">
        <v>19</v>
      </c>
      <c r="G85" s="1" t="s">
        <v>43</v>
      </c>
      <c r="H85" s="5">
        <v>10732.7101436797</v>
      </c>
      <c r="I85" s="5">
        <v>222086.50026033499</v>
      </c>
    </row>
    <row r="86" spans="1:9" x14ac:dyDescent="0.3">
      <c r="A86" s="17"/>
      <c r="B86" s="17"/>
      <c r="C86" s="17"/>
      <c r="D86" s="17"/>
      <c r="E86" s="1" t="s">
        <v>31</v>
      </c>
      <c r="F86" s="1" t="s">
        <v>19</v>
      </c>
      <c r="G86" s="1" t="s">
        <v>43</v>
      </c>
      <c r="H86" s="5">
        <v>8202.6715865065398</v>
      </c>
      <c r="I86" s="5">
        <v>184686.958014398</v>
      </c>
    </row>
    <row r="87" spans="1:9" x14ac:dyDescent="0.3">
      <c r="A87" s="17"/>
      <c r="B87" s="17"/>
      <c r="C87" s="17"/>
      <c r="D87" s="17"/>
      <c r="E87" s="1" t="s">
        <v>32</v>
      </c>
      <c r="F87" s="1" t="s">
        <v>19</v>
      </c>
      <c r="G87" s="1" t="s">
        <v>43</v>
      </c>
      <c r="H87" s="5">
        <v>8502.4807360852901</v>
      </c>
      <c r="I87" s="5">
        <v>106601.902649415</v>
      </c>
    </row>
    <row r="88" spans="1:9" x14ac:dyDescent="0.3">
      <c r="A88" s="17"/>
      <c r="B88" s="17"/>
      <c r="C88" s="17"/>
      <c r="D88" s="17"/>
      <c r="E88" s="1" t="s">
        <v>18</v>
      </c>
      <c r="F88" s="1" t="s">
        <v>19</v>
      </c>
      <c r="G88" s="1" t="s">
        <v>43</v>
      </c>
      <c r="H88" s="5">
        <v>10836.150394484501</v>
      </c>
      <c r="I88" s="5">
        <v>123666.112496635</v>
      </c>
    </row>
    <row r="89" spans="1:9" x14ac:dyDescent="0.3">
      <c r="A89" s="17"/>
      <c r="B89" s="17"/>
      <c r="C89" s="17"/>
      <c r="D89" s="17" t="s">
        <v>33</v>
      </c>
      <c r="E89" s="1" t="s">
        <v>22</v>
      </c>
      <c r="F89" s="1" t="s">
        <v>19</v>
      </c>
      <c r="G89" s="1" t="s">
        <v>43</v>
      </c>
      <c r="H89" s="5">
        <v>8913.3100622820202</v>
      </c>
      <c r="I89" s="5">
        <v>107861.295388732</v>
      </c>
    </row>
    <row r="90" spans="1:9" x14ac:dyDescent="0.3">
      <c r="A90" s="17"/>
      <c r="B90" s="17"/>
      <c r="C90" s="17"/>
      <c r="D90" s="17"/>
      <c r="E90" s="1" t="s">
        <v>23</v>
      </c>
      <c r="F90" s="1" t="s">
        <v>19</v>
      </c>
      <c r="G90" s="1" t="s">
        <v>43</v>
      </c>
      <c r="H90" s="5">
        <v>9415.4520096415399</v>
      </c>
      <c r="I90" s="5">
        <v>177808.59448126599</v>
      </c>
    </row>
    <row r="91" spans="1:9" x14ac:dyDescent="0.3">
      <c r="A91" s="17"/>
      <c r="B91" s="17"/>
      <c r="C91" s="17"/>
      <c r="D91" s="17"/>
      <c r="E91" s="1" t="s">
        <v>24</v>
      </c>
      <c r="F91" s="1" t="s">
        <v>19</v>
      </c>
      <c r="G91" s="1" t="s">
        <v>43</v>
      </c>
      <c r="H91" s="5">
        <v>7995.7764784599203</v>
      </c>
      <c r="I91" s="5">
        <v>146306.105610956</v>
      </c>
    </row>
    <row r="92" spans="1:9" x14ac:dyDescent="0.3">
      <c r="A92" s="17"/>
      <c r="B92" s="17"/>
      <c r="C92" s="17"/>
      <c r="D92" s="17"/>
      <c r="E92" s="1" t="s">
        <v>25</v>
      </c>
      <c r="F92" s="1" t="s">
        <v>19</v>
      </c>
      <c r="G92" s="1" t="s">
        <v>43</v>
      </c>
      <c r="H92" s="5">
        <v>10265.464250630201</v>
      </c>
      <c r="I92" s="5">
        <v>150525.80629736499</v>
      </c>
    </row>
    <row r="93" spans="1:9" x14ac:dyDescent="0.3">
      <c r="A93" s="17"/>
      <c r="B93" s="17"/>
      <c r="C93" s="17"/>
      <c r="D93" s="17"/>
      <c r="E93" s="1" t="s">
        <v>26</v>
      </c>
      <c r="F93" s="1" t="s">
        <v>19</v>
      </c>
      <c r="G93" s="1" t="s">
        <v>43</v>
      </c>
      <c r="H93" s="5">
        <v>10429.5690477632</v>
      </c>
      <c r="I93" s="5">
        <v>275125.95703608898</v>
      </c>
    </row>
    <row r="94" spans="1:9" x14ac:dyDescent="0.3">
      <c r="A94" s="17"/>
      <c r="B94" s="17" t="s">
        <v>44</v>
      </c>
      <c r="C94" s="17" t="s">
        <v>35</v>
      </c>
      <c r="D94" s="17" t="s">
        <v>17</v>
      </c>
      <c r="E94" s="1" t="s">
        <v>22</v>
      </c>
      <c r="F94" s="1" t="s">
        <v>36</v>
      </c>
      <c r="G94" s="1" t="s">
        <v>45</v>
      </c>
      <c r="H94" s="5">
        <v>71579.259369621504</v>
      </c>
      <c r="I94" s="5">
        <v>967947.79659630405</v>
      </c>
    </row>
    <row r="95" spans="1:9" x14ac:dyDescent="0.3">
      <c r="A95" s="17"/>
      <c r="B95" s="17"/>
      <c r="C95" s="17"/>
      <c r="D95" s="17"/>
      <c r="E95" s="1" t="s">
        <v>23</v>
      </c>
      <c r="F95" s="1" t="s">
        <v>36</v>
      </c>
      <c r="G95" s="1" t="s">
        <v>45</v>
      </c>
      <c r="H95" s="5">
        <v>53691.253960426198</v>
      </c>
      <c r="I95" s="5">
        <v>823094.98185366404</v>
      </c>
    </row>
    <row r="96" spans="1:9" x14ac:dyDescent="0.3">
      <c r="A96" s="17"/>
      <c r="B96" s="17"/>
      <c r="C96" s="17"/>
      <c r="D96" s="17"/>
      <c r="E96" s="1" t="s">
        <v>24</v>
      </c>
      <c r="F96" s="1" t="s">
        <v>36</v>
      </c>
      <c r="G96" s="1" t="s">
        <v>45</v>
      </c>
      <c r="H96" s="5">
        <v>69795.6617555306</v>
      </c>
      <c r="I96" s="5">
        <v>869873.72077538003</v>
      </c>
    </row>
    <row r="97" spans="1:9" x14ac:dyDescent="0.3">
      <c r="A97" s="17"/>
      <c r="B97" s="17"/>
      <c r="C97" s="17"/>
      <c r="D97" s="17"/>
      <c r="E97" s="1" t="s">
        <v>25</v>
      </c>
      <c r="F97" s="1" t="s">
        <v>36</v>
      </c>
      <c r="G97" s="1" t="s">
        <v>45</v>
      </c>
      <c r="H97" s="5">
        <v>74656.229494600702</v>
      </c>
      <c r="I97" s="5">
        <v>986406.08003353805</v>
      </c>
    </row>
    <row r="98" spans="1:9" x14ac:dyDescent="0.3">
      <c r="A98" s="17"/>
      <c r="B98" s="17"/>
      <c r="C98" s="17"/>
      <c r="D98" s="17"/>
      <c r="E98" s="1" t="s">
        <v>26</v>
      </c>
      <c r="F98" s="1" t="s">
        <v>36</v>
      </c>
      <c r="G98" s="1" t="s">
        <v>46</v>
      </c>
      <c r="H98" s="5">
        <v>100970.160644844</v>
      </c>
      <c r="I98" s="5">
        <v>1495983.54674705</v>
      </c>
    </row>
    <row r="99" spans="1:9" x14ac:dyDescent="0.3">
      <c r="A99" s="17"/>
      <c r="B99" s="17"/>
      <c r="C99" s="17"/>
      <c r="D99" s="17"/>
      <c r="E99" s="1" t="s">
        <v>27</v>
      </c>
      <c r="F99" s="1" t="s">
        <v>36</v>
      </c>
      <c r="G99" s="1" t="s">
        <v>46</v>
      </c>
      <c r="H99" s="5">
        <v>78838.051014227894</v>
      </c>
      <c r="I99" s="5">
        <v>1754555.9764129401</v>
      </c>
    </row>
    <row r="100" spans="1:9" x14ac:dyDescent="0.3">
      <c r="A100" s="17"/>
      <c r="B100" s="17"/>
      <c r="C100" s="17"/>
      <c r="D100" s="17"/>
      <c r="E100" s="1" t="s">
        <v>28</v>
      </c>
      <c r="F100" s="1" t="s">
        <v>36</v>
      </c>
      <c r="G100" s="1" t="s">
        <v>46</v>
      </c>
      <c r="H100" s="5">
        <v>110979.882398872</v>
      </c>
      <c r="I100" s="5">
        <v>1105825.31328367</v>
      </c>
    </row>
    <row r="101" spans="1:9" x14ac:dyDescent="0.3">
      <c r="A101" s="17"/>
      <c r="B101" s="17"/>
      <c r="C101" s="17"/>
      <c r="D101" s="17"/>
      <c r="E101" s="1" t="s">
        <v>29</v>
      </c>
      <c r="F101" s="1" t="s">
        <v>36</v>
      </c>
      <c r="G101" s="1" t="s">
        <v>46</v>
      </c>
      <c r="H101" s="5">
        <v>89665.819701375905</v>
      </c>
      <c r="I101" s="5">
        <v>1369418.9933758399</v>
      </c>
    </row>
    <row r="102" spans="1:9" x14ac:dyDescent="0.3">
      <c r="A102" s="17"/>
      <c r="B102" s="17"/>
      <c r="C102" s="17"/>
      <c r="D102" s="17"/>
      <c r="E102" s="1" t="s">
        <v>30</v>
      </c>
      <c r="F102" s="1" t="s">
        <v>36</v>
      </c>
      <c r="G102" s="1" t="s">
        <v>46</v>
      </c>
      <c r="H102" s="5">
        <v>73131.371233784797</v>
      </c>
      <c r="I102" s="5">
        <v>1262200.3641572499</v>
      </c>
    </row>
    <row r="103" spans="1:9" x14ac:dyDescent="0.3">
      <c r="A103" s="17"/>
      <c r="B103" s="17"/>
      <c r="C103" s="17"/>
      <c r="D103" s="17"/>
      <c r="E103" s="1" t="s">
        <v>31</v>
      </c>
      <c r="F103" s="1" t="s">
        <v>36</v>
      </c>
      <c r="G103" s="1" t="s">
        <v>46</v>
      </c>
      <c r="H103" s="5">
        <v>88700.443743736003</v>
      </c>
      <c r="I103" s="5">
        <v>1126832.5153652199</v>
      </c>
    </row>
    <row r="104" spans="1:9" x14ac:dyDescent="0.3">
      <c r="A104" s="17"/>
      <c r="B104" s="17"/>
      <c r="C104" s="17"/>
      <c r="D104" s="17"/>
      <c r="E104" s="1" t="s">
        <v>32</v>
      </c>
      <c r="F104" s="1" t="s">
        <v>36</v>
      </c>
      <c r="G104" s="1" t="s">
        <v>46</v>
      </c>
      <c r="H104" s="5">
        <v>60246.402009743702</v>
      </c>
      <c r="I104" s="5">
        <v>1147117.4994940399</v>
      </c>
    </row>
    <row r="105" spans="1:9" x14ac:dyDescent="0.3">
      <c r="A105" s="17"/>
      <c r="B105" s="17"/>
      <c r="C105" s="17"/>
      <c r="D105" s="17"/>
      <c r="E105" s="1" t="s">
        <v>18</v>
      </c>
      <c r="F105" s="1" t="s">
        <v>36</v>
      </c>
      <c r="G105" s="1" t="s">
        <v>46</v>
      </c>
      <c r="H105" s="5">
        <v>64131.053812685197</v>
      </c>
      <c r="I105" s="5">
        <v>1121211.7119188099</v>
      </c>
    </row>
    <row r="106" spans="1:9" x14ac:dyDescent="0.3">
      <c r="A106" s="17"/>
      <c r="B106" s="17"/>
      <c r="C106" s="17"/>
      <c r="D106" s="17" t="s">
        <v>21</v>
      </c>
      <c r="E106" s="1" t="s">
        <v>22</v>
      </c>
      <c r="F106" s="1" t="s">
        <v>36</v>
      </c>
      <c r="G106" s="1" t="s">
        <v>45</v>
      </c>
      <c r="H106" s="5">
        <v>55836.548309935599</v>
      </c>
      <c r="I106" s="5">
        <v>721952.21843000001</v>
      </c>
    </row>
    <row r="107" spans="1:9" x14ac:dyDescent="0.3">
      <c r="A107" s="17"/>
      <c r="B107" s="17"/>
      <c r="C107" s="17"/>
      <c r="D107" s="17"/>
      <c r="E107" s="1" t="s">
        <v>23</v>
      </c>
      <c r="F107" s="1" t="s">
        <v>36</v>
      </c>
      <c r="G107" s="1" t="s">
        <v>45</v>
      </c>
      <c r="H107" s="5">
        <v>69066.6461078742</v>
      </c>
      <c r="I107" s="5">
        <v>1088960.50744632</v>
      </c>
    </row>
    <row r="108" spans="1:9" x14ac:dyDescent="0.3">
      <c r="A108" s="17"/>
      <c r="B108" s="17"/>
      <c r="C108" s="17"/>
      <c r="D108" s="17"/>
      <c r="E108" s="1" t="s">
        <v>24</v>
      </c>
      <c r="F108" s="1" t="s">
        <v>36</v>
      </c>
      <c r="G108" s="1" t="s">
        <v>46</v>
      </c>
      <c r="H108" s="5">
        <v>65680.739574551699</v>
      </c>
      <c r="I108" s="5">
        <v>912306.43697797495</v>
      </c>
    </row>
    <row r="109" spans="1:9" x14ac:dyDescent="0.3">
      <c r="A109" s="17"/>
      <c r="B109" s="17"/>
      <c r="C109" s="17"/>
      <c r="D109" s="17"/>
      <c r="E109" s="1" t="s">
        <v>25</v>
      </c>
      <c r="F109" s="1" t="s">
        <v>36</v>
      </c>
      <c r="G109" s="1" t="s">
        <v>46</v>
      </c>
      <c r="H109" s="5">
        <v>90335.793709063</v>
      </c>
      <c r="I109" s="5">
        <v>1538455.1704962801</v>
      </c>
    </row>
    <row r="110" spans="1:9" x14ac:dyDescent="0.3">
      <c r="A110" s="17"/>
      <c r="B110" s="17"/>
      <c r="C110" s="17"/>
      <c r="D110" s="17"/>
      <c r="E110" s="1" t="s">
        <v>26</v>
      </c>
      <c r="F110" s="1" t="s">
        <v>36</v>
      </c>
      <c r="G110" s="1" t="s">
        <v>46</v>
      </c>
      <c r="H110" s="5">
        <v>104181.094628701</v>
      </c>
      <c r="I110" s="5">
        <v>1286455.0908240399</v>
      </c>
    </row>
    <row r="111" spans="1:9" x14ac:dyDescent="0.3">
      <c r="A111" s="17"/>
      <c r="B111" s="17"/>
      <c r="C111" s="17"/>
      <c r="D111" s="17"/>
      <c r="E111" s="1" t="s">
        <v>27</v>
      </c>
      <c r="F111" s="1" t="s">
        <v>36</v>
      </c>
      <c r="G111" s="1" t="s">
        <v>46</v>
      </c>
      <c r="H111" s="5">
        <v>111466.695254759</v>
      </c>
      <c r="I111" s="5">
        <v>1725119.45850003</v>
      </c>
    </row>
    <row r="112" spans="1:9" x14ac:dyDescent="0.3">
      <c r="A112" s="17"/>
      <c r="B112" s="17"/>
      <c r="C112" s="17"/>
      <c r="D112" s="17"/>
      <c r="E112" s="1" t="s">
        <v>28</v>
      </c>
      <c r="F112" s="1" t="s">
        <v>36</v>
      </c>
      <c r="G112" s="1" t="s">
        <v>46</v>
      </c>
      <c r="H112" s="5">
        <v>115409.83548922899</v>
      </c>
      <c r="I112" s="5">
        <v>1540947.92659929</v>
      </c>
    </row>
    <row r="113" spans="1:9" x14ac:dyDescent="0.3">
      <c r="A113" s="17"/>
      <c r="B113" s="17"/>
      <c r="C113" s="17"/>
      <c r="D113" s="17"/>
      <c r="E113" s="1" t="s">
        <v>29</v>
      </c>
      <c r="F113" s="1" t="s">
        <v>36</v>
      </c>
      <c r="G113" s="1" t="s">
        <v>46</v>
      </c>
      <c r="H113" s="5">
        <v>124801.671533844</v>
      </c>
      <c r="I113" s="5">
        <v>1111557.90782585</v>
      </c>
    </row>
    <row r="114" spans="1:9" x14ac:dyDescent="0.3">
      <c r="A114" s="17"/>
      <c r="B114" s="17"/>
      <c r="C114" s="17"/>
      <c r="D114" s="17"/>
      <c r="E114" s="1" t="s">
        <v>30</v>
      </c>
      <c r="F114" s="1" t="s">
        <v>36</v>
      </c>
      <c r="G114" s="1" t="s">
        <v>46</v>
      </c>
      <c r="H114" s="5">
        <v>82129.025741514997</v>
      </c>
      <c r="I114" s="5">
        <v>1873403.0953085099</v>
      </c>
    </row>
    <row r="115" spans="1:9" x14ac:dyDescent="0.3">
      <c r="A115" s="17"/>
      <c r="B115" s="17"/>
      <c r="C115" s="17"/>
      <c r="D115" s="17"/>
      <c r="E115" s="1" t="s">
        <v>31</v>
      </c>
      <c r="F115" s="1" t="s">
        <v>36</v>
      </c>
      <c r="G115" s="1" t="s">
        <v>46</v>
      </c>
      <c r="H115" s="5">
        <v>81671.697125509105</v>
      </c>
      <c r="I115" s="5">
        <v>1419405.7511068699</v>
      </c>
    </row>
    <row r="116" spans="1:9" x14ac:dyDescent="0.3">
      <c r="A116" s="17"/>
      <c r="B116" s="17"/>
      <c r="C116" s="17"/>
      <c r="D116" s="17"/>
      <c r="E116" s="1" t="s">
        <v>32</v>
      </c>
      <c r="F116" s="1" t="s">
        <v>36</v>
      </c>
      <c r="G116" s="1" t="s">
        <v>46</v>
      </c>
      <c r="H116" s="5">
        <v>89112.8863237974</v>
      </c>
      <c r="I116" s="5">
        <v>962845.73934535601</v>
      </c>
    </row>
    <row r="117" spans="1:9" x14ac:dyDescent="0.3">
      <c r="A117" s="17"/>
      <c r="B117" s="17"/>
      <c r="C117" s="17"/>
      <c r="D117" s="17"/>
      <c r="E117" s="1" t="s">
        <v>18</v>
      </c>
      <c r="F117" s="1" t="s">
        <v>36</v>
      </c>
      <c r="G117" s="1" t="s">
        <v>46</v>
      </c>
      <c r="H117" s="5">
        <v>89598.548654939004</v>
      </c>
      <c r="I117" s="5">
        <v>999360.72987712198</v>
      </c>
    </row>
    <row r="118" spans="1:9" x14ac:dyDescent="0.3">
      <c r="A118" s="17"/>
      <c r="B118" s="17"/>
      <c r="C118" s="17"/>
      <c r="D118" s="17" t="s">
        <v>33</v>
      </c>
      <c r="E118" s="1" t="s">
        <v>22</v>
      </c>
      <c r="F118" s="1" t="s">
        <v>36</v>
      </c>
      <c r="G118" s="1" t="s">
        <v>46</v>
      </c>
      <c r="H118" s="5">
        <v>56710.110829578</v>
      </c>
      <c r="I118" s="5">
        <v>1246832.07667923</v>
      </c>
    </row>
    <row r="119" spans="1:9" x14ac:dyDescent="0.3">
      <c r="A119" s="17"/>
      <c r="B119" s="17"/>
      <c r="C119" s="17"/>
      <c r="D119" s="17"/>
      <c r="E119" s="1" t="s">
        <v>23</v>
      </c>
      <c r="F119" s="1" t="s">
        <v>36</v>
      </c>
      <c r="G119" s="1" t="s">
        <v>46</v>
      </c>
      <c r="H119" s="5">
        <v>85065.928374516006</v>
      </c>
      <c r="I119" s="5">
        <v>1130922.0360771001</v>
      </c>
    </row>
    <row r="120" spans="1:9" x14ac:dyDescent="0.3">
      <c r="A120" s="17"/>
      <c r="B120" s="17"/>
      <c r="C120" s="17"/>
      <c r="D120" s="17"/>
      <c r="E120" s="1" t="s">
        <v>24</v>
      </c>
      <c r="F120" s="1" t="s">
        <v>36</v>
      </c>
      <c r="G120" s="1" t="s">
        <v>46</v>
      </c>
      <c r="H120" s="5">
        <v>110920.242215633</v>
      </c>
      <c r="I120" s="5">
        <v>1217500.9084868601</v>
      </c>
    </row>
    <row r="121" spans="1:9" x14ac:dyDescent="0.3">
      <c r="A121" s="17"/>
      <c r="B121" s="17"/>
      <c r="C121" s="17"/>
      <c r="D121" s="17"/>
      <c r="E121" s="1" t="s">
        <v>25</v>
      </c>
      <c r="F121" s="1" t="s">
        <v>36</v>
      </c>
      <c r="G121" s="1" t="s">
        <v>46</v>
      </c>
      <c r="H121" s="5">
        <v>80014.025079740604</v>
      </c>
      <c r="I121" s="5">
        <v>1072194.88692995</v>
      </c>
    </row>
    <row r="122" spans="1:9" x14ac:dyDescent="0.3">
      <c r="A122" s="17"/>
      <c r="B122" s="17"/>
      <c r="C122" s="17"/>
      <c r="D122" s="17"/>
      <c r="E122" s="1" t="s">
        <v>26</v>
      </c>
      <c r="F122" s="1" t="s">
        <v>36</v>
      </c>
      <c r="G122" s="1" t="s">
        <v>46</v>
      </c>
      <c r="H122" s="5">
        <v>94011.598104168705</v>
      </c>
      <c r="I122" s="5">
        <v>1752521.49569932</v>
      </c>
    </row>
    <row r="123" spans="1:9" x14ac:dyDescent="0.3">
      <c r="A123" s="17"/>
      <c r="B123" s="17"/>
      <c r="C123" s="17"/>
      <c r="D123" s="17"/>
      <c r="E123" s="1" t="s">
        <v>27</v>
      </c>
      <c r="F123" s="1" t="s">
        <v>36</v>
      </c>
      <c r="G123" s="1" t="s">
        <v>46</v>
      </c>
      <c r="H123" s="5">
        <v>118818.583527123</v>
      </c>
      <c r="I123" s="5">
        <v>1731529.43286629</v>
      </c>
    </row>
  </sheetData>
  <mergeCells count="24">
    <mergeCell ref="C81:C93"/>
    <mergeCell ref="D81:D88"/>
    <mergeCell ref="D89:D93"/>
    <mergeCell ref="B94:B123"/>
    <mergeCell ref="C94:C123"/>
    <mergeCell ref="D94:D105"/>
    <mergeCell ref="D106:D117"/>
    <mergeCell ref="D118:D123"/>
    <mergeCell ref="A2:A123"/>
    <mergeCell ref="B2:B20"/>
    <mergeCell ref="C2:C20"/>
    <mergeCell ref="D3:D14"/>
    <mergeCell ref="D15:D20"/>
    <mergeCell ref="B21:B50"/>
    <mergeCell ref="C21:C50"/>
    <mergeCell ref="D21:D32"/>
    <mergeCell ref="D33:D44"/>
    <mergeCell ref="D45:D50"/>
    <mergeCell ref="B51:B80"/>
    <mergeCell ref="C51:C80"/>
    <mergeCell ref="D51:D62"/>
    <mergeCell ref="D63:D74"/>
    <mergeCell ref="D75:D80"/>
    <mergeCell ref="B81:B93"/>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N5"/>
  <sheetViews>
    <sheetView zoomScaleNormal="100" workbookViewId="0">
      <selection activeCell="K25" sqref="K25"/>
    </sheetView>
  </sheetViews>
  <sheetFormatPr defaultColWidth="8.5546875" defaultRowHeight="14.4" x14ac:dyDescent="0.3"/>
  <cols>
    <col min="2" max="2" width="16.21875" customWidth="1"/>
  </cols>
  <sheetData>
    <row r="2" spans="2:14" x14ac:dyDescent="0.3">
      <c r="B2" t="s">
        <v>47</v>
      </c>
      <c r="C2" t="s">
        <v>48</v>
      </c>
      <c r="D2" t="s">
        <v>49</v>
      </c>
      <c r="E2" t="s">
        <v>50</v>
      </c>
      <c r="F2" t="s">
        <v>51</v>
      </c>
      <c r="G2" t="s">
        <v>26</v>
      </c>
      <c r="H2" t="s">
        <v>52</v>
      </c>
      <c r="I2" t="s">
        <v>53</v>
      </c>
      <c r="J2" t="s">
        <v>54</v>
      </c>
      <c r="K2" t="s">
        <v>55</v>
      </c>
      <c r="L2" t="s">
        <v>56</v>
      </c>
      <c r="M2" t="s">
        <v>57</v>
      </c>
      <c r="N2" t="s">
        <v>58</v>
      </c>
    </row>
    <row r="3" spans="2:14" x14ac:dyDescent="0.3">
      <c r="B3" t="s">
        <v>59</v>
      </c>
      <c r="C3">
        <v>895441</v>
      </c>
      <c r="D3">
        <v>948465</v>
      </c>
      <c r="E3">
        <v>1117311</v>
      </c>
      <c r="F3">
        <v>1284638</v>
      </c>
      <c r="G3">
        <v>1495297</v>
      </c>
      <c r="H3">
        <v>1561422</v>
      </c>
      <c r="I3">
        <v>1628915</v>
      </c>
      <c r="J3">
        <v>1618153</v>
      </c>
      <c r="K3">
        <v>1529718</v>
      </c>
      <c r="L3">
        <v>1468168</v>
      </c>
      <c r="M3">
        <v>1091165</v>
      </c>
      <c r="N3">
        <v>1153914</v>
      </c>
    </row>
    <row r="4" spans="2:14" x14ac:dyDescent="0.3">
      <c r="B4" t="s">
        <v>60</v>
      </c>
      <c r="C4">
        <v>950595</v>
      </c>
      <c r="D4">
        <v>1016868</v>
      </c>
      <c r="E4">
        <v>1191178</v>
      </c>
      <c r="F4">
        <v>1393786</v>
      </c>
      <c r="G4">
        <v>1576429</v>
      </c>
      <c r="H4">
        <v>1643722</v>
      </c>
      <c r="I4">
        <v>1783169</v>
      </c>
      <c r="J4">
        <v>1770479</v>
      </c>
      <c r="K4">
        <v>1628996</v>
      </c>
      <c r="L4">
        <v>1609903</v>
      </c>
      <c r="M4">
        <v>1193998</v>
      </c>
      <c r="N4">
        <v>1222096</v>
      </c>
    </row>
    <row r="5" spans="2:14" x14ac:dyDescent="0.3">
      <c r="B5" t="s">
        <v>61</v>
      </c>
      <c r="C5">
        <v>1017320</v>
      </c>
      <c r="D5">
        <v>1071937</v>
      </c>
      <c r="E5">
        <v>1274309</v>
      </c>
      <c r="F5">
        <v>1465123</v>
      </c>
      <c r="G5">
        <v>1655765</v>
      </c>
      <c r="H5">
        <v>1709032</v>
      </c>
      <c r="I5">
        <v>0</v>
      </c>
      <c r="J5">
        <v>0</v>
      </c>
      <c r="K5">
        <v>0</v>
      </c>
      <c r="L5">
        <v>0</v>
      </c>
      <c r="M5">
        <v>0</v>
      </c>
      <c r="N5">
        <v>0</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3"/>
  <sheetViews>
    <sheetView zoomScale="85" zoomScaleNormal="85" workbookViewId="0">
      <pane ySplit="1" topLeftCell="A2" activePane="bottomLeft" state="frozen"/>
      <selection pane="bottomLeft"/>
    </sheetView>
  </sheetViews>
  <sheetFormatPr defaultColWidth="8.5546875" defaultRowHeight="14.4" x14ac:dyDescent="0.3"/>
  <cols>
    <col min="1" max="1" width="15" customWidth="1"/>
    <col min="2" max="2" width="12" customWidth="1"/>
    <col min="3" max="3" width="10" customWidth="1"/>
    <col min="4" max="4" width="7" customWidth="1"/>
    <col min="5" max="5" width="10" customWidth="1"/>
    <col min="6" max="6" width="9" customWidth="1"/>
    <col min="7" max="7" width="7" customWidth="1"/>
    <col min="8" max="9" width="13" customWidth="1"/>
    <col min="10" max="10" width="9" customWidth="1"/>
  </cols>
  <sheetData>
    <row r="1" spans="1:10" x14ac:dyDescent="0.3">
      <c r="A1" s="6" t="s">
        <v>62</v>
      </c>
      <c r="B1" s="6" t="s">
        <v>63</v>
      </c>
      <c r="C1" s="6" t="s">
        <v>64</v>
      </c>
      <c r="D1" s="6" t="s">
        <v>65</v>
      </c>
      <c r="E1" s="6" t="s">
        <v>47</v>
      </c>
      <c r="F1" s="6" t="s">
        <v>66</v>
      </c>
      <c r="G1" s="6" t="s">
        <v>67</v>
      </c>
      <c r="H1" s="6" t="s">
        <v>12</v>
      </c>
      <c r="I1" s="6" t="s">
        <v>13</v>
      </c>
      <c r="J1" s="6" t="s">
        <v>68</v>
      </c>
    </row>
    <row r="2" spans="1:10" x14ac:dyDescent="0.3">
      <c r="A2" t="s">
        <v>15</v>
      </c>
      <c r="B2" t="s">
        <v>16</v>
      </c>
      <c r="C2" t="s">
        <v>19</v>
      </c>
      <c r="D2">
        <v>2024</v>
      </c>
      <c r="E2" t="s">
        <v>18</v>
      </c>
      <c r="F2">
        <v>12</v>
      </c>
      <c r="G2">
        <v>398</v>
      </c>
      <c r="H2" s="7">
        <v>6930.6</v>
      </c>
      <c r="I2" s="8">
        <v>144744.88</v>
      </c>
      <c r="J2" s="9">
        <f t="shared" ref="J2:J33" si="0">IF(H2=0,0,I2/H2)</f>
        <v>20.884898854356045</v>
      </c>
    </row>
    <row r="3" spans="1:10" x14ac:dyDescent="0.3">
      <c r="A3" t="s">
        <v>15</v>
      </c>
      <c r="B3" t="s">
        <v>16</v>
      </c>
      <c r="C3" t="s">
        <v>19</v>
      </c>
      <c r="D3">
        <v>2025</v>
      </c>
      <c r="E3" t="s">
        <v>22</v>
      </c>
      <c r="F3">
        <v>1</v>
      </c>
      <c r="G3">
        <v>398</v>
      </c>
      <c r="H3" s="7">
        <v>9413.02</v>
      </c>
      <c r="I3" s="8">
        <v>228691.06</v>
      </c>
      <c r="J3" s="9">
        <f t="shared" si="0"/>
        <v>24.295184754733334</v>
      </c>
    </row>
    <row r="4" spans="1:10" x14ac:dyDescent="0.3">
      <c r="A4" t="s">
        <v>15</v>
      </c>
      <c r="B4" t="s">
        <v>16</v>
      </c>
      <c r="C4" t="s">
        <v>19</v>
      </c>
      <c r="D4">
        <v>2025</v>
      </c>
      <c r="E4" t="s">
        <v>23</v>
      </c>
      <c r="F4">
        <v>2</v>
      </c>
      <c r="G4">
        <v>398</v>
      </c>
      <c r="H4" s="7">
        <v>17939.189999999999</v>
      </c>
      <c r="I4" s="8">
        <v>199814.15</v>
      </c>
      <c r="J4" s="9">
        <f t="shared" si="0"/>
        <v>11.138415391107403</v>
      </c>
    </row>
    <row r="5" spans="1:10" x14ac:dyDescent="0.3">
      <c r="A5" t="s">
        <v>15</v>
      </c>
      <c r="B5" t="s">
        <v>16</v>
      </c>
      <c r="C5" t="s">
        <v>19</v>
      </c>
      <c r="D5">
        <v>2025</v>
      </c>
      <c r="E5" t="s">
        <v>24</v>
      </c>
      <c r="F5">
        <v>3</v>
      </c>
      <c r="G5">
        <v>398</v>
      </c>
      <c r="H5" s="7">
        <v>14655.72</v>
      </c>
      <c r="I5" s="8">
        <v>333749.49</v>
      </c>
      <c r="J5" s="9">
        <f t="shared" si="0"/>
        <v>22.772643718629997</v>
      </c>
    </row>
    <row r="6" spans="1:10" x14ac:dyDescent="0.3">
      <c r="A6" t="s">
        <v>15</v>
      </c>
      <c r="B6" t="s">
        <v>16</v>
      </c>
      <c r="C6" t="s">
        <v>19</v>
      </c>
      <c r="D6">
        <v>2025</v>
      </c>
      <c r="E6" t="s">
        <v>25</v>
      </c>
      <c r="F6">
        <v>4</v>
      </c>
      <c r="G6">
        <v>398</v>
      </c>
      <c r="H6" s="7">
        <v>16830.060000000001</v>
      </c>
      <c r="I6" s="8">
        <v>281233.75</v>
      </c>
      <c r="J6" s="9">
        <f t="shared" si="0"/>
        <v>16.710204835871053</v>
      </c>
    </row>
    <row r="7" spans="1:10" x14ac:dyDescent="0.3">
      <c r="A7" t="s">
        <v>15</v>
      </c>
      <c r="B7" t="s">
        <v>16</v>
      </c>
      <c r="C7" t="s">
        <v>19</v>
      </c>
      <c r="D7">
        <v>2025</v>
      </c>
      <c r="E7" t="s">
        <v>26</v>
      </c>
      <c r="F7">
        <v>5</v>
      </c>
      <c r="G7">
        <v>398</v>
      </c>
      <c r="H7" s="7">
        <v>26165.64</v>
      </c>
      <c r="I7" s="8">
        <v>379231.63</v>
      </c>
      <c r="J7" s="9">
        <f t="shared" si="0"/>
        <v>14.493497197087478</v>
      </c>
    </row>
    <row r="8" spans="1:10" x14ac:dyDescent="0.3">
      <c r="A8" t="s">
        <v>15</v>
      </c>
      <c r="B8" t="s">
        <v>16</v>
      </c>
      <c r="C8" t="s">
        <v>19</v>
      </c>
      <c r="D8">
        <v>2025</v>
      </c>
      <c r="E8" t="s">
        <v>27</v>
      </c>
      <c r="F8">
        <v>6</v>
      </c>
      <c r="G8">
        <v>398</v>
      </c>
      <c r="H8" s="7">
        <v>25846.400000000001</v>
      </c>
      <c r="I8" s="8">
        <v>445530.49</v>
      </c>
      <c r="J8" s="9">
        <f t="shared" si="0"/>
        <v>17.237622647641448</v>
      </c>
    </row>
    <row r="9" spans="1:10" x14ac:dyDescent="0.3">
      <c r="A9" t="s">
        <v>15</v>
      </c>
      <c r="B9" t="s">
        <v>16</v>
      </c>
      <c r="C9" t="s">
        <v>19</v>
      </c>
      <c r="D9">
        <v>2025</v>
      </c>
      <c r="E9" t="s">
        <v>28</v>
      </c>
      <c r="F9">
        <v>7</v>
      </c>
      <c r="G9">
        <v>398</v>
      </c>
      <c r="H9" s="7">
        <v>22873.3</v>
      </c>
      <c r="I9" s="8">
        <v>399964.7</v>
      </c>
      <c r="J9" s="9">
        <f t="shared" si="0"/>
        <v>17.486095141496854</v>
      </c>
    </row>
    <row r="10" spans="1:10" x14ac:dyDescent="0.3">
      <c r="A10" t="s">
        <v>15</v>
      </c>
      <c r="B10" t="s">
        <v>16</v>
      </c>
      <c r="C10" t="s">
        <v>19</v>
      </c>
      <c r="D10">
        <v>2025</v>
      </c>
      <c r="E10" t="s">
        <v>29</v>
      </c>
      <c r="F10">
        <v>8</v>
      </c>
      <c r="G10">
        <v>398</v>
      </c>
      <c r="H10" s="7">
        <v>17669.77</v>
      </c>
      <c r="I10" s="8">
        <v>388876.27</v>
      </c>
      <c r="J10" s="9">
        <f t="shared" si="0"/>
        <v>22.007998406317682</v>
      </c>
    </row>
    <row r="11" spans="1:10" x14ac:dyDescent="0.3">
      <c r="A11" t="s">
        <v>15</v>
      </c>
      <c r="B11" t="s">
        <v>16</v>
      </c>
      <c r="C11" t="s">
        <v>19</v>
      </c>
      <c r="D11">
        <v>2025</v>
      </c>
      <c r="E11" t="s">
        <v>30</v>
      </c>
      <c r="F11">
        <v>9</v>
      </c>
      <c r="G11">
        <v>398</v>
      </c>
      <c r="H11" s="7">
        <v>24593.18</v>
      </c>
      <c r="I11" s="8">
        <v>399015.51</v>
      </c>
      <c r="J11" s="9">
        <f t="shared" si="0"/>
        <v>16.224640733731871</v>
      </c>
    </row>
    <row r="12" spans="1:10" x14ac:dyDescent="0.3">
      <c r="A12" t="s">
        <v>15</v>
      </c>
      <c r="B12" t="s">
        <v>16</v>
      </c>
      <c r="C12" t="s">
        <v>19</v>
      </c>
      <c r="D12">
        <v>2025</v>
      </c>
      <c r="E12" t="s">
        <v>31</v>
      </c>
      <c r="F12">
        <v>10</v>
      </c>
      <c r="G12">
        <v>398</v>
      </c>
      <c r="H12" s="7">
        <v>16708.59</v>
      </c>
      <c r="I12" s="8">
        <v>359711.42</v>
      </c>
      <c r="J12" s="9">
        <f t="shared" si="0"/>
        <v>21.528532329777676</v>
      </c>
    </row>
    <row r="13" spans="1:10" x14ac:dyDescent="0.3">
      <c r="A13" t="s">
        <v>15</v>
      </c>
      <c r="B13" t="s">
        <v>16</v>
      </c>
      <c r="C13" t="s">
        <v>19</v>
      </c>
      <c r="D13">
        <v>2025</v>
      </c>
      <c r="E13" t="s">
        <v>32</v>
      </c>
      <c r="F13">
        <v>11</v>
      </c>
      <c r="G13">
        <v>398</v>
      </c>
      <c r="H13" s="7">
        <v>20735.490000000002</v>
      </c>
      <c r="I13" s="8">
        <v>295193.05</v>
      </c>
      <c r="J13" s="9">
        <f t="shared" si="0"/>
        <v>14.23612608141886</v>
      </c>
    </row>
    <row r="14" spans="1:10" x14ac:dyDescent="0.3">
      <c r="A14" t="s">
        <v>15</v>
      </c>
      <c r="B14" t="s">
        <v>16</v>
      </c>
      <c r="C14" t="s">
        <v>19</v>
      </c>
      <c r="D14">
        <v>2025</v>
      </c>
      <c r="E14" t="s">
        <v>18</v>
      </c>
      <c r="F14">
        <v>12</v>
      </c>
      <c r="G14">
        <v>398</v>
      </c>
      <c r="H14" s="7">
        <v>19333.36</v>
      </c>
      <c r="I14" s="8">
        <v>289865.46999999997</v>
      </c>
      <c r="J14" s="9">
        <f t="shared" si="0"/>
        <v>14.993020871695348</v>
      </c>
    </row>
    <row r="15" spans="1:10" x14ac:dyDescent="0.3">
      <c r="A15" t="s">
        <v>15</v>
      </c>
      <c r="B15" t="s">
        <v>16</v>
      </c>
      <c r="C15" t="s">
        <v>19</v>
      </c>
      <c r="D15">
        <v>2026</v>
      </c>
      <c r="E15" t="s">
        <v>22</v>
      </c>
      <c r="F15">
        <v>1</v>
      </c>
      <c r="G15">
        <v>398</v>
      </c>
      <c r="H15" s="7">
        <v>16111.93</v>
      </c>
      <c r="I15" s="8">
        <v>292270.14</v>
      </c>
      <c r="J15" s="9">
        <f t="shared" si="0"/>
        <v>18.139983229817904</v>
      </c>
    </row>
    <row r="16" spans="1:10" x14ac:dyDescent="0.3">
      <c r="A16" t="s">
        <v>15</v>
      </c>
      <c r="B16" t="s">
        <v>16</v>
      </c>
      <c r="C16" t="s">
        <v>19</v>
      </c>
      <c r="D16">
        <v>2026</v>
      </c>
      <c r="E16" t="s">
        <v>23</v>
      </c>
      <c r="F16">
        <v>2</v>
      </c>
      <c r="G16">
        <v>398</v>
      </c>
      <c r="H16" s="7">
        <v>15861.79</v>
      </c>
      <c r="I16" s="8">
        <v>235071.51</v>
      </c>
      <c r="J16" s="9">
        <f t="shared" si="0"/>
        <v>14.819986268888947</v>
      </c>
    </row>
    <row r="17" spans="1:10" x14ac:dyDescent="0.3">
      <c r="A17" t="s">
        <v>15</v>
      </c>
      <c r="B17" t="s">
        <v>16</v>
      </c>
      <c r="C17" t="s">
        <v>19</v>
      </c>
      <c r="D17">
        <v>2026</v>
      </c>
      <c r="E17" t="s">
        <v>24</v>
      </c>
      <c r="F17">
        <v>3</v>
      </c>
      <c r="G17">
        <v>398</v>
      </c>
      <c r="H17" s="7">
        <v>13741.49</v>
      </c>
      <c r="I17" s="8">
        <v>292012.15999999997</v>
      </c>
      <c r="J17" s="9">
        <f t="shared" si="0"/>
        <v>21.25040006578617</v>
      </c>
    </row>
    <row r="18" spans="1:10" x14ac:dyDescent="0.3">
      <c r="A18" t="s">
        <v>15</v>
      </c>
      <c r="B18" t="s">
        <v>16</v>
      </c>
      <c r="C18" t="s">
        <v>19</v>
      </c>
      <c r="D18">
        <v>2026</v>
      </c>
      <c r="E18" t="s">
        <v>25</v>
      </c>
      <c r="F18">
        <v>4</v>
      </c>
      <c r="G18">
        <v>398</v>
      </c>
      <c r="H18" s="7">
        <v>16814.740000000002</v>
      </c>
      <c r="I18" s="8">
        <v>233875.49</v>
      </c>
      <c r="J18" s="9">
        <f t="shared" si="0"/>
        <v>13.908956665401901</v>
      </c>
    </row>
    <row r="19" spans="1:10" x14ac:dyDescent="0.3">
      <c r="A19" t="s">
        <v>15</v>
      </c>
      <c r="B19" t="s">
        <v>16</v>
      </c>
      <c r="C19" t="s">
        <v>19</v>
      </c>
      <c r="D19">
        <v>2026</v>
      </c>
      <c r="E19" t="s">
        <v>26</v>
      </c>
      <c r="F19">
        <v>5</v>
      </c>
      <c r="G19">
        <v>398</v>
      </c>
      <c r="H19" s="7">
        <v>21858.44</v>
      </c>
      <c r="I19" s="8">
        <v>305511.03999999998</v>
      </c>
      <c r="J19" s="9">
        <f t="shared" si="0"/>
        <v>13.976799808220532</v>
      </c>
    </row>
    <row r="20" spans="1:10" x14ac:dyDescent="0.3">
      <c r="A20" t="s">
        <v>15</v>
      </c>
      <c r="B20" t="s">
        <v>16</v>
      </c>
      <c r="C20" t="s">
        <v>19</v>
      </c>
      <c r="D20">
        <v>2026</v>
      </c>
      <c r="E20" t="s">
        <v>27</v>
      </c>
      <c r="F20">
        <v>6</v>
      </c>
      <c r="G20">
        <v>398</v>
      </c>
      <c r="H20" s="7">
        <v>24825.18</v>
      </c>
      <c r="I20" s="8">
        <v>285397.27</v>
      </c>
      <c r="J20" s="9">
        <f t="shared" si="0"/>
        <v>11.49628200077502</v>
      </c>
    </row>
    <row r="21" spans="1:10" x14ac:dyDescent="0.3">
      <c r="A21" t="s">
        <v>34</v>
      </c>
      <c r="B21" t="s">
        <v>35</v>
      </c>
      <c r="C21" t="s">
        <v>36</v>
      </c>
      <c r="D21">
        <v>2024</v>
      </c>
      <c r="E21" t="s">
        <v>22</v>
      </c>
      <c r="F21">
        <v>1</v>
      </c>
      <c r="G21">
        <v>300</v>
      </c>
      <c r="H21" s="7">
        <v>29433.74</v>
      </c>
      <c r="I21" s="8">
        <v>283173.55</v>
      </c>
      <c r="J21" s="9">
        <f t="shared" si="0"/>
        <v>9.6207124884571229</v>
      </c>
    </row>
    <row r="22" spans="1:10" x14ac:dyDescent="0.3">
      <c r="A22" t="s">
        <v>34</v>
      </c>
      <c r="B22" t="s">
        <v>35</v>
      </c>
      <c r="C22" t="s">
        <v>36</v>
      </c>
      <c r="D22">
        <v>2024</v>
      </c>
      <c r="E22" t="s">
        <v>23</v>
      </c>
      <c r="F22">
        <v>2</v>
      </c>
      <c r="G22">
        <v>300</v>
      </c>
      <c r="H22" s="7">
        <v>33870.639999999999</v>
      </c>
      <c r="I22" s="8">
        <v>317239.03999999998</v>
      </c>
      <c r="J22" s="9">
        <f t="shared" si="0"/>
        <v>9.3661956195690426</v>
      </c>
    </row>
    <row r="23" spans="1:10" x14ac:dyDescent="0.3">
      <c r="A23" t="s">
        <v>34</v>
      </c>
      <c r="B23" t="s">
        <v>35</v>
      </c>
      <c r="C23" t="s">
        <v>36</v>
      </c>
      <c r="D23">
        <v>2024</v>
      </c>
      <c r="E23" t="s">
        <v>24</v>
      </c>
      <c r="F23">
        <v>3</v>
      </c>
      <c r="G23">
        <v>300</v>
      </c>
      <c r="H23" s="7">
        <v>25452.32</v>
      </c>
      <c r="I23" s="8">
        <v>406520.3</v>
      </c>
      <c r="J23" s="9">
        <f t="shared" si="0"/>
        <v>15.971836752013175</v>
      </c>
    </row>
    <row r="24" spans="1:10" x14ac:dyDescent="0.3">
      <c r="A24" t="s">
        <v>34</v>
      </c>
      <c r="B24" t="s">
        <v>35</v>
      </c>
      <c r="C24" t="s">
        <v>36</v>
      </c>
      <c r="D24">
        <v>2024</v>
      </c>
      <c r="E24" t="s">
        <v>25</v>
      </c>
      <c r="F24">
        <v>4</v>
      </c>
      <c r="G24">
        <v>300</v>
      </c>
      <c r="H24" s="7">
        <v>32054.89</v>
      </c>
      <c r="I24" s="8">
        <v>434253.39</v>
      </c>
      <c r="J24" s="9">
        <f t="shared" si="0"/>
        <v>13.54718078895295</v>
      </c>
    </row>
    <row r="25" spans="1:10" x14ac:dyDescent="0.3">
      <c r="A25" t="s">
        <v>34</v>
      </c>
      <c r="B25" t="s">
        <v>35</v>
      </c>
      <c r="C25" t="s">
        <v>36</v>
      </c>
      <c r="D25">
        <v>2024</v>
      </c>
      <c r="E25" t="s">
        <v>26</v>
      </c>
      <c r="F25">
        <v>5</v>
      </c>
      <c r="G25">
        <v>300</v>
      </c>
      <c r="H25" s="7">
        <v>33878.080000000002</v>
      </c>
      <c r="I25" s="8">
        <v>348854.71</v>
      </c>
      <c r="J25" s="9">
        <f t="shared" si="0"/>
        <v>10.297357760534245</v>
      </c>
    </row>
    <row r="26" spans="1:10" x14ac:dyDescent="0.3">
      <c r="A26" t="s">
        <v>34</v>
      </c>
      <c r="B26" t="s">
        <v>35</v>
      </c>
      <c r="C26" t="s">
        <v>36</v>
      </c>
      <c r="D26">
        <v>2024</v>
      </c>
      <c r="E26" t="s">
        <v>27</v>
      </c>
      <c r="F26">
        <v>6</v>
      </c>
      <c r="G26">
        <v>300</v>
      </c>
      <c r="H26" s="7">
        <v>45283.91</v>
      </c>
      <c r="I26" s="8">
        <v>593538.52</v>
      </c>
      <c r="J26" s="9">
        <f t="shared" si="0"/>
        <v>13.107051047491261</v>
      </c>
    </row>
    <row r="27" spans="1:10" x14ac:dyDescent="0.3">
      <c r="A27" t="s">
        <v>34</v>
      </c>
      <c r="B27" t="s">
        <v>35</v>
      </c>
      <c r="C27" t="s">
        <v>36</v>
      </c>
      <c r="D27">
        <v>2024</v>
      </c>
      <c r="E27" t="s">
        <v>28</v>
      </c>
      <c r="F27">
        <v>7</v>
      </c>
      <c r="G27">
        <v>300</v>
      </c>
      <c r="H27" s="7">
        <v>37922.19</v>
      </c>
      <c r="I27" s="8">
        <v>577074.16</v>
      </c>
      <c r="J27" s="9">
        <f t="shared" si="0"/>
        <v>15.21732157346398</v>
      </c>
    </row>
    <row r="28" spans="1:10" x14ac:dyDescent="0.3">
      <c r="A28" t="s">
        <v>34</v>
      </c>
      <c r="B28" t="s">
        <v>35</v>
      </c>
      <c r="C28" t="s">
        <v>36</v>
      </c>
      <c r="D28">
        <v>2024</v>
      </c>
      <c r="E28" t="s">
        <v>29</v>
      </c>
      <c r="F28">
        <v>8</v>
      </c>
      <c r="G28">
        <v>300</v>
      </c>
      <c r="H28" s="7">
        <v>38398.11</v>
      </c>
      <c r="I28" s="8">
        <v>5161021.2</v>
      </c>
      <c r="J28" s="9">
        <f t="shared" si="0"/>
        <v>134.4082091540443</v>
      </c>
    </row>
    <row r="29" spans="1:10" x14ac:dyDescent="0.3">
      <c r="A29" t="s">
        <v>34</v>
      </c>
      <c r="B29" t="s">
        <v>35</v>
      </c>
      <c r="C29" t="s">
        <v>36</v>
      </c>
      <c r="D29">
        <v>2024</v>
      </c>
      <c r="E29" t="s">
        <v>30</v>
      </c>
      <c r="F29">
        <v>9</v>
      </c>
      <c r="G29">
        <v>300</v>
      </c>
      <c r="H29" s="7">
        <v>44501.74</v>
      </c>
      <c r="I29" s="8">
        <v>513874.15</v>
      </c>
      <c r="J29" s="9">
        <f t="shared" si="0"/>
        <v>11.547282196156825</v>
      </c>
    </row>
    <row r="30" spans="1:10" x14ac:dyDescent="0.3">
      <c r="A30" t="s">
        <v>34</v>
      </c>
      <c r="B30" t="s">
        <v>35</v>
      </c>
      <c r="C30" t="s">
        <v>36</v>
      </c>
      <c r="D30">
        <v>2024</v>
      </c>
      <c r="E30" t="s">
        <v>31</v>
      </c>
      <c r="F30">
        <v>10</v>
      </c>
      <c r="G30">
        <v>300</v>
      </c>
      <c r="H30" s="7">
        <v>39423.33</v>
      </c>
      <c r="I30" s="8">
        <v>393650.67</v>
      </c>
      <c r="J30" s="9">
        <f t="shared" si="0"/>
        <v>9.9852211875556929</v>
      </c>
    </row>
    <row r="31" spans="1:10" x14ac:dyDescent="0.3">
      <c r="A31" t="s">
        <v>34</v>
      </c>
      <c r="B31" t="s">
        <v>35</v>
      </c>
      <c r="C31" t="s">
        <v>36</v>
      </c>
      <c r="D31">
        <v>2024</v>
      </c>
      <c r="E31" t="s">
        <v>32</v>
      </c>
      <c r="F31">
        <v>11</v>
      </c>
      <c r="G31">
        <v>300</v>
      </c>
      <c r="H31" s="7">
        <v>27129.85</v>
      </c>
      <c r="I31" s="8">
        <v>352104.35</v>
      </c>
      <c r="J31" s="9">
        <f t="shared" si="0"/>
        <v>12.97848495292086</v>
      </c>
    </row>
    <row r="32" spans="1:10" x14ac:dyDescent="0.3">
      <c r="A32" t="s">
        <v>34</v>
      </c>
      <c r="B32" t="s">
        <v>35</v>
      </c>
      <c r="C32" t="s">
        <v>36</v>
      </c>
      <c r="D32">
        <v>2024</v>
      </c>
      <c r="E32" t="s">
        <v>18</v>
      </c>
      <c r="F32">
        <v>12</v>
      </c>
      <c r="G32">
        <v>300</v>
      </c>
      <c r="H32" s="7">
        <v>30912.31</v>
      </c>
      <c r="I32" s="8">
        <v>495902.21</v>
      </c>
      <c r="J32" s="9">
        <f t="shared" si="0"/>
        <v>16.042224278936125</v>
      </c>
    </row>
    <row r="33" spans="1:10" x14ac:dyDescent="0.3">
      <c r="A33" t="s">
        <v>34</v>
      </c>
      <c r="B33" t="s">
        <v>35</v>
      </c>
      <c r="C33" t="s">
        <v>36</v>
      </c>
      <c r="D33">
        <v>2025</v>
      </c>
      <c r="E33" t="s">
        <v>22</v>
      </c>
      <c r="F33">
        <v>1</v>
      </c>
      <c r="G33">
        <v>300</v>
      </c>
      <c r="H33" s="7">
        <v>24750.49</v>
      </c>
      <c r="I33" s="8">
        <v>340380.21</v>
      </c>
      <c r="J33" s="9">
        <f t="shared" si="0"/>
        <v>13.752463486581478</v>
      </c>
    </row>
    <row r="34" spans="1:10" x14ac:dyDescent="0.3">
      <c r="A34" t="s">
        <v>34</v>
      </c>
      <c r="B34" t="s">
        <v>35</v>
      </c>
      <c r="C34" t="s">
        <v>36</v>
      </c>
      <c r="D34">
        <v>2025</v>
      </c>
      <c r="E34" t="s">
        <v>23</v>
      </c>
      <c r="F34">
        <v>2</v>
      </c>
      <c r="G34">
        <v>300</v>
      </c>
      <c r="H34" s="7">
        <v>26229.9</v>
      </c>
      <c r="I34" s="8">
        <v>252247.12</v>
      </c>
      <c r="J34" s="9">
        <f t="shared" ref="J34:J65" si="1">IF(H34=0,0,I34/H34)</f>
        <v>9.6167777993816213</v>
      </c>
    </row>
    <row r="35" spans="1:10" x14ac:dyDescent="0.3">
      <c r="A35" t="s">
        <v>34</v>
      </c>
      <c r="B35" t="s">
        <v>35</v>
      </c>
      <c r="C35" t="s">
        <v>36</v>
      </c>
      <c r="D35">
        <v>2025</v>
      </c>
      <c r="E35" t="s">
        <v>24</v>
      </c>
      <c r="F35">
        <v>3</v>
      </c>
      <c r="G35">
        <v>300</v>
      </c>
      <c r="H35" s="7">
        <v>23377.56</v>
      </c>
      <c r="I35" s="8">
        <v>300082.7</v>
      </c>
      <c r="J35" s="9">
        <f t="shared" si="1"/>
        <v>12.836356745528617</v>
      </c>
    </row>
    <row r="36" spans="1:10" x14ac:dyDescent="0.3">
      <c r="A36" t="s">
        <v>34</v>
      </c>
      <c r="B36" t="s">
        <v>35</v>
      </c>
      <c r="C36" t="s">
        <v>36</v>
      </c>
      <c r="D36">
        <v>2025</v>
      </c>
      <c r="E36" t="s">
        <v>25</v>
      </c>
      <c r="F36">
        <v>4</v>
      </c>
      <c r="G36">
        <v>300</v>
      </c>
      <c r="H36" s="7">
        <v>36302.33</v>
      </c>
      <c r="I36" s="8">
        <v>374099.27</v>
      </c>
      <c r="J36" s="9">
        <f t="shared" si="1"/>
        <v>10.305103556713853</v>
      </c>
    </row>
    <row r="37" spans="1:10" x14ac:dyDescent="0.3">
      <c r="A37" t="s">
        <v>34</v>
      </c>
      <c r="B37" t="s">
        <v>35</v>
      </c>
      <c r="C37" t="s">
        <v>36</v>
      </c>
      <c r="D37">
        <v>2025</v>
      </c>
      <c r="E37" t="s">
        <v>26</v>
      </c>
      <c r="F37">
        <v>5</v>
      </c>
      <c r="G37">
        <v>300</v>
      </c>
      <c r="H37" s="7">
        <v>27423.5</v>
      </c>
      <c r="I37" s="8">
        <v>544318.31999999995</v>
      </c>
      <c r="J37" s="9">
        <f t="shared" si="1"/>
        <v>19.848608675041476</v>
      </c>
    </row>
    <row r="38" spans="1:10" x14ac:dyDescent="0.3">
      <c r="A38" t="s">
        <v>34</v>
      </c>
      <c r="B38" t="s">
        <v>35</v>
      </c>
      <c r="C38" t="s">
        <v>36</v>
      </c>
      <c r="D38">
        <v>2025</v>
      </c>
      <c r="E38" t="s">
        <v>27</v>
      </c>
      <c r="F38">
        <v>6</v>
      </c>
      <c r="G38">
        <v>300</v>
      </c>
      <c r="H38" s="7">
        <v>35533.29</v>
      </c>
      <c r="I38" s="8">
        <v>378073.99</v>
      </c>
      <c r="J38" s="9">
        <f t="shared" si="1"/>
        <v>10.639993932450386</v>
      </c>
    </row>
    <row r="39" spans="1:10" x14ac:dyDescent="0.3">
      <c r="A39" t="s">
        <v>34</v>
      </c>
      <c r="B39" t="s">
        <v>35</v>
      </c>
      <c r="C39" t="s">
        <v>36</v>
      </c>
      <c r="D39">
        <v>2025</v>
      </c>
      <c r="E39" t="s">
        <v>28</v>
      </c>
      <c r="F39">
        <v>7</v>
      </c>
      <c r="G39">
        <v>300</v>
      </c>
      <c r="H39" s="7">
        <v>38449.31</v>
      </c>
      <c r="I39" s="8">
        <v>667406</v>
      </c>
      <c r="J39" s="9">
        <f t="shared" si="1"/>
        <v>17.358074826310279</v>
      </c>
    </row>
    <row r="40" spans="1:10" x14ac:dyDescent="0.3">
      <c r="A40" t="s">
        <v>34</v>
      </c>
      <c r="B40" t="s">
        <v>35</v>
      </c>
      <c r="C40" t="s">
        <v>36</v>
      </c>
      <c r="D40">
        <v>2025</v>
      </c>
      <c r="E40" t="s">
        <v>29</v>
      </c>
      <c r="F40">
        <v>8</v>
      </c>
      <c r="G40">
        <v>300</v>
      </c>
      <c r="H40" s="7">
        <v>42503.81</v>
      </c>
      <c r="I40" s="8">
        <v>435838.28</v>
      </c>
      <c r="J40" s="9">
        <f t="shared" si="1"/>
        <v>10.254099103115699</v>
      </c>
    </row>
    <row r="41" spans="1:10" x14ac:dyDescent="0.3">
      <c r="A41" t="s">
        <v>34</v>
      </c>
      <c r="B41" t="s">
        <v>35</v>
      </c>
      <c r="C41" t="s">
        <v>36</v>
      </c>
      <c r="D41">
        <v>2025</v>
      </c>
      <c r="E41" t="s">
        <v>30</v>
      </c>
      <c r="F41">
        <v>9</v>
      </c>
      <c r="G41">
        <v>300</v>
      </c>
      <c r="H41" s="7">
        <v>32185.79</v>
      </c>
      <c r="I41" s="8">
        <v>433530.69</v>
      </c>
      <c r="J41" s="9">
        <f t="shared" si="1"/>
        <v>13.469630231229372</v>
      </c>
    </row>
    <row r="42" spans="1:10" x14ac:dyDescent="0.3">
      <c r="A42" t="s">
        <v>34</v>
      </c>
      <c r="B42" t="s">
        <v>35</v>
      </c>
      <c r="C42" t="s">
        <v>36</v>
      </c>
      <c r="D42">
        <v>2025</v>
      </c>
      <c r="E42" t="s">
        <v>31</v>
      </c>
      <c r="F42">
        <v>10</v>
      </c>
      <c r="G42">
        <v>300</v>
      </c>
      <c r="H42" s="7">
        <v>27045.42</v>
      </c>
      <c r="I42" s="8">
        <v>550834.92000000004</v>
      </c>
      <c r="J42" s="9">
        <f t="shared" si="1"/>
        <v>20.367031460409937</v>
      </c>
    </row>
    <row r="43" spans="1:10" x14ac:dyDescent="0.3">
      <c r="A43" t="s">
        <v>34</v>
      </c>
      <c r="B43" t="s">
        <v>35</v>
      </c>
      <c r="C43" t="s">
        <v>36</v>
      </c>
      <c r="D43">
        <v>2025</v>
      </c>
      <c r="E43" t="s">
        <v>32</v>
      </c>
      <c r="F43">
        <v>11</v>
      </c>
      <c r="G43">
        <v>300</v>
      </c>
      <c r="H43" s="7">
        <v>26218.29</v>
      </c>
      <c r="I43" s="8">
        <v>436222</v>
      </c>
      <c r="J43" s="9">
        <f t="shared" si="1"/>
        <v>16.638079752722241</v>
      </c>
    </row>
    <row r="44" spans="1:10" x14ac:dyDescent="0.3">
      <c r="A44" t="s">
        <v>34</v>
      </c>
      <c r="B44" t="s">
        <v>35</v>
      </c>
      <c r="C44" t="s">
        <v>36</v>
      </c>
      <c r="D44">
        <v>2025</v>
      </c>
      <c r="E44" t="s">
        <v>18</v>
      </c>
      <c r="F44">
        <v>12</v>
      </c>
      <c r="G44">
        <v>300</v>
      </c>
      <c r="H44" s="7">
        <v>29893.87</v>
      </c>
      <c r="I44" s="8">
        <v>393457.79</v>
      </c>
      <c r="J44" s="9">
        <f t="shared" si="1"/>
        <v>13.161821804938604</v>
      </c>
    </row>
    <row r="45" spans="1:10" x14ac:dyDescent="0.3">
      <c r="A45" t="s">
        <v>34</v>
      </c>
      <c r="B45" t="s">
        <v>35</v>
      </c>
      <c r="C45" t="s">
        <v>36</v>
      </c>
      <c r="D45">
        <v>2026</v>
      </c>
      <c r="E45" t="s">
        <v>22</v>
      </c>
      <c r="F45">
        <v>1</v>
      </c>
      <c r="G45">
        <v>300</v>
      </c>
      <c r="H45" s="7">
        <v>4867.32</v>
      </c>
      <c r="I45" s="8">
        <v>170495.09</v>
      </c>
      <c r="J45" s="9">
        <f t="shared" si="1"/>
        <v>35.02853521034163</v>
      </c>
    </row>
    <row r="46" spans="1:10" x14ac:dyDescent="0.3">
      <c r="A46" t="s">
        <v>34</v>
      </c>
      <c r="B46" t="s">
        <v>35</v>
      </c>
      <c r="C46" t="s">
        <v>36</v>
      </c>
      <c r="D46">
        <v>2026</v>
      </c>
      <c r="E46" t="s">
        <v>23</v>
      </c>
      <c r="F46">
        <v>2</v>
      </c>
      <c r="G46">
        <v>300</v>
      </c>
      <c r="H46" s="7">
        <v>4569.33</v>
      </c>
      <c r="I46" s="8">
        <v>59616.07</v>
      </c>
      <c r="J46" s="9">
        <f t="shared" si="1"/>
        <v>13.047004703096515</v>
      </c>
    </row>
    <row r="47" spans="1:10" x14ac:dyDescent="0.3">
      <c r="A47" t="s">
        <v>34</v>
      </c>
      <c r="B47" t="s">
        <v>35</v>
      </c>
      <c r="C47" t="s">
        <v>36</v>
      </c>
      <c r="D47">
        <v>2026</v>
      </c>
      <c r="E47" t="s">
        <v>24</v>
      </c>
      <c r="F47">
        <v>3</v>
      </c>
      <c r="G47">
        <v>300</v>
      </c>
      <c r="H47" s="7">
        <v>28869.73</v>
      </c>
      <c r="I47" s="8">
        <v>291707.2</v>
      </c>
      <c r="J47" s="9">
        <f t="shared" si="1"/>
        <v>10.104257989250334</v>
      </c>
    </row>
    <row r="48" spans="1:10" x14ac:dyDescent="0.3">
      <c r="A48" t="s">
        <v>34</v>
      </c>
      <c r="B48" t="s">
        <v>35</v>
      </c>
      <c r="C48" t="s">
        <v>36</v>
      </c>
      <c r="D48">
        <v>2026</v>
      </c>
      <c r="E48" t="s">
        <v>25</v>
      </c>
      <c r="F48">
        <v>4</v>
      </c>
      <c r="G48">
        <v>300</v>
      </c>
      <c r="H48" s="7">
        <v>28258.61</v>
      </c>
      <c r="I48" s="8">
        <v>375911.47</v>
      </c>
      <c r="J48" s="9">
        <f t="shared" si="1"/>
        <v>13.302546374361654</v>
      </c>
    </row>
    <row r="49" spans="1:10" x14ac:dyDescent="0.3">
      <c r="A49" t="s">
        <v>34</v>
      </c>
      <c r="B49" t="s">
        <v>35</v>
      </c>
      <c r="C49" t="s">
        <v>36</v>
      </c>
      <c r="D49">
        <v>2026</v>
      </c>
      <c r="E49" t="s">
        <v>26</v>
      </c>
      <c r="F49">
        <v>5</v>
      </c>
      <c r="G49">
        <v>300</v>
      </c>
      <c r="H49" s="7">
        <v>38786.129999999997</v>
      </c>
      <c r="I49" s="8">
        <v>447679.44</v>
      </c>
      <c r="J49" s="9">
        <f t="shared" si="1"/>
        <v>11.542255955930639</v>
      </c>
    </row>
    <row r="50" spans="1:10" x14ac:dyDescent="0.3">
      <c r="A50" t="s">
        <v>34</v>
      </c>
      <c r="B50" t="s">
        <v>35</v>
      </c>
      <c r="C50" t="s">
        <v>36</v>
      </c>
      <c r="D50">
        <v>2026</v>
      </c>
      <c r="E50" t="s">
        <v>27</v>
      </c>
      <c r="F50">
        <v>6</v>
      </c>
      <c r="G50">
        <v>300</v>
      </c>
      <c r="H50" s="7">
        <v>46790.239999999998</v>
      </c>
      <c r="I50" s="8">
        <v>551662.19999999995</v>
      </c>
      <c r="J50" s="9">
        <f t="shared" si="1"/>
        <v>11.790112638875115</v>
      </c>
    </row>
    <row r="51" spans="1:10" x14ac:dyDescent="0.3">
      <c r="A51" t="s">
        <v>38</v>
      </c>
      <c r="B51" t="s">
        <v>16</v>
      </c>
      <c r="C51" t="s">
        <v>39</v>
      </c>
      <c r="D51">
        <v>2024</v>
      </c>
      <c r="E51" t="s">
        <v>22</v>
      </c>
      <c r="F51">
        <v>1</v>
      </c>
      <c r="G51">
        <v>190</v>
      </c>
      <c r="H51" s="7">
        <v>7117.44</v>
      </c>
      <c r="I51" s="8">
        <v>34077.760000000002</v>
      </c>
      <c r="J51" s="9">
        <f t="shared" si="1"/>
        <v>4.7879237478644017</v>
      </c>
    </row>
    <row r="52" spans="1:10" x14ac:dyDescent="0.3">
      <c r="A52" t="s">
        <v>38</v>
      </c>
      <c r="B52" t="s">
        <v>16</v>
      </c>
      <c r="C52" t="s">
        <v>39</v>
      </c>
      <c r="D52">
        <v>2024</v>
      </c>
      <c r="E52" t="s">
        <v>23</v>
      </c>
      <c r="F52">
        <v>2</v>
      </c>
      <c r="G52">
        <v>190</v>
      </c>
      <c r="H52" s="7">
        <v>10431.969999999999</v>
      </c>
      <c r="I52" s="8">
        <v>51134.19</v>
      </c>
      <c r="J52" s="9">
        <f t="shared" si="1"/>
        <v>4.9016810822883894</v>
      </c>
    </row>
    <row r="53" spans="1:10" x14ac:dyDescent="0.3">
      <c r="A53" t="s">
        <v>38</v>
      </c>
      <c r="B53" t="s">
        <v>16</v>
      </c>
      <c r="C53" t="s">
        <v>39</v>
      </c>
      <c r="D53">
        <v>2024</v>
      </c>
      <c r="E53" t="s">
        <v>24</v>
      </c>
      <c r="F53">
        <v>3</v>
      </c>
      <c r="G53">
        <v>190</v>
      </c>
      <c r="H53" s="7">
        <v>14434.87</v>
      </c>
      <c r="I53" s="8">
        <v>44332.62</v>
      </c>
      <c r="J53" s="9">
        <f t="shared" si="1"/>
        <v>3.0712171290770196</v>
      </c>
    </row>
    <row r="54" spans="1:10" x14ac:dyDescent="0.3">
      <c r="A54" t="s">
        <v>38</v>
      </c>
      <c r="B54" t="s">
        <v>16</v>
      </c>
      <c r="C54" t="s">
        <v>39</v>
      </c>
      <c r="D54">
        <v>2024</v>
      </c>
      <c r="E54" t="s">
        <v>25</v>
      </c>
      <c r="F54">
        <v>4</v>
      </c>
      <c r="G54">
        <v>269</v>
      </c>
      <c r="H54" s="7">
        <v>36789</v>
      </c>
      <c r="I54" s="8">
        <v>211859.33</v>
      </c>
      <c r="J54" s="9">
        <f t="shared" si="1"/>
        <v>5.7587683818532707</v>
      </c>
    </row>
    <row r="55" spans="1:10" x14ac:dyDescent="0.3">
      <c r="A55" t="s">
        <v>38</v>
      </c>
      <c r="B55" t="s">
        <v>16</v>
      </c>
      <c r="C55" t="s">
        <v>39</v>
      </c>
      <c r="D55">
        <v>2024</v>
      </c>
      <c r="E55" t="s">
        <v>26</v>
      </c>
      <c r="F55">
        <v>5</v>
      </c>
      <c r="G55">
        <v>269</v>
      </c>
      <c r="H55" s="7">
        <v>64273.11</v>
      </c>
      <c r="I55" s="8">
        <v>221990.66</v>
      </c>
      <c r="J55" s="9">
        <f t="shared" si="1"/>
        <v>3.4538652322876549</v>
      </c>
    </row>
    <row r="56" spans="1:10" x14ac:dyDescent="0.3">
      <c r="A56" t="s">
        <v>38</v>
      </c>
      <c r="B56" t="s">
        <v>16</v>
      </c>
      <c r="C56" t="s">
        <v>39</v>
      </c>
      <c r="D56">
        <v>2024</v>
      </c>
      <c r="E56" t="s">
        <v>27</v>
      </c>
      <c r="F56">
        <v>6</v>
      </c>
      <c r="G56">
        <v>269</v>
      </c>
      <c r="H56" s="7">
        <v>40992.449999999997</v>
      </c>
      <c r="I56" s="8">
        <v>203323.16</v>
      </c>
      <c r="J56" s="9">
        <f t="shared" si="1"/>
        <v>4.9600148319995512</v>
      </c>
    </row>
    <row r="57" spans="1:10" x14ac:dyDescent="0.3">
      <c r="A57" t="s">
        <v>38</v>
      </c>
      <c r="B57" t="s">
        <v>16</v>
      </c>
      <c r="C57" t="s">
        <v>39</v>
      </c>
      <c r="D57">
        <v>2024</v>
      </c>
      <c r="E57" t="s">
        <v>28</v>
      </c>
      <c r="F57">
        <v>7</v>
      </c>
      <c r="G57">
        <v>269</v>
      </c>
      <c r="H57" s="7">
        <v>32334.15</v>
      </c>
      <c r="I57" s="8">
        <v>324017.23</v>
      </c>
      <c r="J57" s="9">
        <f t="shared" si="1"/>
        <v>10.020898338134758</v>
      </c>
    </row>
    <row r="58" spans="1:10" x14ac:dyDescent="0.3">
      <c r="A58" t="s">
        <v>38</v>
      </c>
      <c r="B58" t="s">
        <v>16</v>
      </c>
      <c r="C58" t="s">
        <v>39</v>
      </c>
      <c r="D58">
        <v>2024</v>
      </c>
      <c r="E58" t="s">
        <v>29</v>
      </c>
      <c r="F58">
        <v>8</v>
      </c>
      <c r="G58">
        <v>269</v>
      </c>
      <c r="H58" s="7">
        <v>34998.21</v>
      </c>
      <c r="I58" s="8">
        <v>230259.7</v>
      </c>
      <c r="J58" s="9">
        <f t="shared" si="1"/>
        <v>6.5791850497496878</v>
      </c>
    </row>
    <row r="59" spans="1:10" x14ac:dyDescent="0.3">
      <c r="A59" t="s">
        <v>38</v>
      </c>
      <c r="B59" t="s">
        <v>16</v>
      </c>
      <c r="C59" t="s">
        <v>39</v>
      </c>
      <c r="D59">
        <v>2024</v>
      </c>
      <c r="E59" t="s">
        <v>30</v>
      </c>
      <c r="F59">
        <v>9</v>
      </c>
      <c r="G59">
        <v>269</v>
      </c>
      <c r="H59" s="7">
        <v>33384.43</v>
      </c>
      <c r="I59" s="8">
        <v>280727.83</v>
      </c>
      <c r="J59" s="9">
        <f t="shared" si="1"/>
        <v>8.4089448284724355</v>
      </c>
    </row>
    <row r="60" spans="1:10" x14ac:dyDescent="0.3">
      <c r="A60" t="s">
        <v>38</v>
      </c>
      <c r="B60" t="s">
        <v>16</v>
      </c>
      <c r="C60" t="s">
        <v>39</v>
      </c>
      <c r="D60">
        <v>2024</v>
      </c>
      <c r="E60" t="s">
        <v>31</v>
      </c>
      <c r="F60">
        <v>10</v>
      </c>
      <c r="G60">
        <v>269</v>
      </c>
      <c r="H60" s="7">
        <v>38503.730000000003</v>
      </c>
      <c r="I60" s="8">
        <v>231380.47</v>
      </c>
      <c r="J60" s="9">
        <f t="shared" si="1"/>
        <v>6.0093001379346882</v>
      </c>
    </row>
    <row r="61" spans="1:10" x14ac:dyDescent="0.3">
      <c r="A61" t="s">
        <v>38</v>
      </c>
      <c r="B61" t="s">
        <v>16</v>
      </c>
      <c r="C61" t="s">
        <v>39</v>
      </c>
      <c r="D61">
        <v>2024</v>
      </c>
      <c r="E61" t="s">
        <v>32</v>
      </c>
      <c r="F61">
        <v>11</v>
      </c>
      <c r="G61">
        <v>269</v>
      </c>
      <c r="H61" s="7">
        <v>32772.85</v>
      </c>
      <c r="I61" s="8">
        <v>287377.02</v>
      </c>
      <c r="J61" s="9">
        <f t="shared" si="1"/>
        <v>8.7687527938522294</v>
      </c>
    </row>
    <row r="62" spans="1:10" x14ac:dyDescent="0.3">
      <c r="A62" t="s">
        <v>38</v>
      </c>
      <c r="B62" t="s">
        <v>16</v>
      </c>
      <c r="C62" t="s">
        <v>39</v>
      </c>
      <c r="D62">
        <v>2024</v>
      </c>
      <c r="E62" t="s">
        <v>18</v>
      </c>
      <c r="F62">
        <v>12</v>
      </c>
      <c r="G62">
        <v>269</v>
      </c>
      <c r="H62" s="7">
        <v>40029.769999999997</v>
      </c>
      <c r="I62" s="8">
        <v>321474.83</v>
      </c>
      <c r="J62" s="9">
        <f t="shared" si="1"/>
        <v>8.030893757321115</v>
      </c>
    </row>
    <row r="63" spans="1:10" x14ac:dyDescent="0.3">
      <c r="A63" t="s">
        <v>38</v>
      </c>
      <c r="B63" t="s">
        <v>16</v>
      </c>
      <c r="C63" t="s">
        <v>39</v>
      </c>
      <c r="D63">
        <v>2025</v>
      </c>
      <c r="E63" t="s">
        <v>22</v>
      </c>
      <c r="F63">
        <v>1</v>
      </c>
      <c r="G63">
        <v>269</v>
      </c>
      <c r="H63" s="7">
        <v>28232.11</v>
      </c>
      <c r="I63" s="8">
        <v>222701.02</v>
      </c>
      <c r="J63" s="9">
        <f t="shared" si="1"/>
        <v>7.8882173525110231</v>
      </c>
    </row>
    <row r="64" spans="1:10" x14ac:dyDescent="0.3">
      <c r="A64" t="s">
        <v>38</v>
      </c>
      <c r="B64" t="s">
        <v>16</v>
      </c>
      <c r="C64" t="s">
        <v>39</v>
      </c>
      <c r="D64">
        <v>2025</v>
      </c>
      <c r="E64" t="s">
        <v>23</v>
      </c>
      <c r="F64">
        <v>2</v>
      </c>
      <c r="G64">
        <v>269</v>
      </c>
      <c r="H64" s="7">
        <v>35871.18</v>
      </c>
      <c r="I64" s="8">
        <v>192200.15</v>
      </c>
      <c r="J64" s="9">
        <f t="shared" si="1"/>
        <v>5.3580660017317525</v>
      </c>
    </row>
    <row r="65" spans="1:10" x14ac:dyDescent="0.3">
      <c r="A65" t="s">
        <v>38</v>
      </c>
      <c r="B65" t="s">
        <v>16</v>
      </c>
      <c r="C65" t="s">
        <v>39</v>
      </c>
      <c r="D65">
        <v>2025</v>
      </c>
      <c r="E65" t="s">
        <v>24</v>
      </c>
      <c r="F65">
        <v>3</v>
      </c>
      <c r="G65">
        <v>269</v>
      </c>
      <c r="H65" s="7">
        <v>41222.339999999997</v>
      </c>
      <c r="I65" s="8">
        <v>214085.74</v>
      </c>
      <c r="J65" s="9">
        <f t="shared" si="1"/>
        <v>5.1934397707650755</v>
      </c>
    </row>
    <row r="66" spans="1:10" x14ac:dyDescent="0.3">
      <c r="A66" t="s">
        <v>38</v>
      </c>
      <c r="B66" t="s">
        <v>16</v>
      </c>
      <c r="C66" t="s">
        <v>39</v>
      </c>
      <c r="D66">
        <v>2025</v>
      </c>
      <c r="E66" t="s">
        <v>25</v>
      </c>
      <c r="F66">
        <v>4</v>
      </c>
      <c r="G66">
        <v>269</v>
      </c>
      <c r="H66" s="7">
        <v>46298.559999999998</v>
      </c>
      <c r="I66" s="8">
        <v>332702.71999999997</v>
      </c>
      <c r="J66" s="9">
        <f t="shared" ref="J66:J97" si="2">IF(H66=0,0,I66/H66)</f>
        <v>7.1860273840050315</v>
      </c>
    </row>
    <row r="67" spans="1:10" x14ac:dyDescent="0.3">
      <c r="A67" t="s">
        <v>38</v>
      </c>
      <c r="B67" t="s">
        <v>16</v>
      </c>
      <c r="C67" t="s">
        <v>39</v>
      </c>
      <c r="D67">
        <v>2025</v>
      </c>
      <c r="E67" t="s">
        <v>26</v>
      </c>
      <c r="F67">
        <v>5</v>
      </c>
      <c r="G67">
        <v>269</v>
      </c>
      <c r="H67" s="7">
        <v>43882.97</v>
      </c>
      <c r="I67" s="8">
        <v>288954.44</v>
      </c>
      <c r="J67" s="9">
        <f t="shared" si="2"/>
        <v>6.5846600628900003</v>
      </c>
    </row>
    <row r="68" spans="1:10" x14ac:dyDescent="0.3">
      <c r="A68" t="s">
        <v>38</v>
      </c>
      <c r="B68" t="s">
        <v>16</v>
      </c>
      <c r="C68" t="s">
        <v>39</v>
      </c>
      <c r="D68">
        <v>2025</v>
      </c>
      <c r="E68" t="s">
        <v>27</v>
      </c>
      <c r="F68">
        <v>6</v>
      </c>
      <c r="G68">
        <v>269</v>
      </c>
      <c r="H68" s="7">
        <v>30463.25</v>
      </c>
      <c r="I68" s="8">
        <v>243434.6</v>
      </c>
      <c r="J68" s="9">
        <f t="shared" si="2"/>
        <v>7.9910909046145768</v>
      </c>
    </row>
    <row r="69" spans="1:10" x14ac:dyDescent="0.3">
      <c r="A69" t="s">
        <v>38</v>
      </c>
      <c r="B69" t="s">
        <v>16</v>
      </c>
      <c r="C69" t="s">
        <v>39</v>
      </c>
      <c r="D69">
        <v>2025</v>
      </c>
      <c r="E69" t="s">
        <v>28</v>
      </c>
      <c r="F69">
        <v>7</v>
      </c>
      <c r="G69">
        <v>269</v>
      </c>
      <c r="H69" s="7">
        <v>35025.19</v>
      </c>
      <c r="I69" s="8">
        <v>344831.81</v>
      </c>
      <c r="J69" s="9">
        <f t="shared" si="2"/>
        <v>9.8452516603050544</v>
      </c>
    </row>
    <row r="70" spans="1:10" x14ac:dyDescent="0.3">
      <c r="A70" t="s">
        <v>38</v>
      </c>
      <c r="B70" t="s">
        <v>16</v>
      </c>
      <c r="C70" t="s">
        <v>39</v>
      </c>
      <c r="D70">
        <v>2025</v>
      </c>
      <c r="E70" t="s">
        <v>29</v>
      </c>
      <c r="F70">
        <v>8</v>
      </c>
      <c r="G70">
        <v>269</v>
      </c>
      <c r="H70" s="7">
        <v>50338.17</v>
      </c>
      <c r="I70" s="8">
        <v>291005.42</v>
      </c>
      <c r="J70" s="9">
        <f t="shared" si="2"/>
        <v>5.7810091228981904</v>
      </c>
    </row>
    <row r="71" spans="1:10" x14ac:dyDescent="0.3">
      <c r="A71" t="s">
        <v>38</v>
      </c>
      <c r="B71" t="s">
        <v>16</v>
      </c>
      <c r="C71" t="s">
        <v>39</v>
      </c>
      <c r="D71">
        <v>2025</v>
      </c>
      <c r="E71" t="s">
        <v>30</v>
      </c>
      <c r="F71">
        <v>9</v>
      </c>
      <c r="G71">
        <v>269</v>
      </c>
      <c r="H71" s="7">
        <v>42654.93</v>
      </c>
      <c r="I71" s="8">
        <v>299268.8</v>
      </c>
      <c r="J71" s="9">
        <f t="shared" si="2"/>
        <v>7.0160424598047628</v>
      </c>
    </row>
    <row r="72" spans="1:10" x14ac:dyDescent="0.3">
      <c r="A72" t="s">
        <v>38</v>
      </c>
      <c r="B72" t="s">
        <v>16</v>
      </c>
      <c r="C72" t="s">
        <v>39</v>
      </c>
      <c r="D72">
        <v>2025</v>
      </c>
      <c r="E72" t="s">
        <v>31</v>
      </c>
      <c r="F72">
        <v>10</v>
      </c>
      <c r="G72">
        <v>269</v>
      </c>
      <c r="H72" s="7">
        <v>47093.22</v>
      </c>
      <c r="I72" s="8">
        <v>332681.17</v>
      </c>
      <c r="J72" s="9">
        <f t="shared" si="2"/>
        <v>7.0643113807040585</v>
      </c>
    </row>
    <row r="73" spans="1:10" x14ac:dyDescent="0.3">
      <c r="A73" t="s">
        <v>38</v>
      </c>
      <c r="B73" t="s">
        <v>16</v>
      </c>
      <c r="C73" t="s">
        <v>39</v>
      </c>
      <c r="D73">
        <v>2025</v>
      </c>
      <c r="E73" t="s">
        <v>32</v>
      </c>
      <c r="F73">
        <v>11</v>
      </c>
      <c r="G73">
        <v>269</v>
      </c>
      <c r="H73" s="7">
        <v>29470.84</v>
      </c>
      <c r="I73" s="8">
        <v>263158.11</v>
      </c>
      <c r="J73" s="9">
        <f t="shared" si="2"/>
        <v>8.9294404231436904</v>
      </c>
    </row>
    <row r="74" spans="1:10" x14ac:dyDescent="0.3">
      <c r="A74" t="s">
        <v>38</v>
      </c>
      <c r="B74" t="s">
        <v>16</v>
      </c>
      <c r="C74" t="s">
        <v>39</v>
      </c>
      <c r="D74">
        <v>2025</v>
      </c>
      <c r="E74" t="s">
        <v>18</v>
      </c>
      <c r="F74">
        <v>12</v>
      </c>
      <c r="G74">
        <v>269</v>
      </c>
      <c r="H74" s="7">
        <v>36781.07</v>
      </c>
      <c r="I74" s="8">
        <v>339965.07</v>
      </c>
      <c r="J74" s="9">
        <f t="shared" si="2"/>
        <v>9.2429358362875256</v>
      </c>
    </row>
    <row r="75" spans="1:10" x14ac:dyDescent="0.3">
      <c r="A75" t="s">
        <v>38</v>
      </c>
      <c r="B75" t="s">
        <v>16</v>
      </c>
      <c r="C75" t="s">
        <v>39</v>
      </c>
      <c r="D75">
        <v>2026</v>
      </c>
      <c r="E75" t="s">
        <v>22</v>
      </c>
      <c r="F75">
        <v>1</v>
      </c>
      <c r="G75">
        <v>269</v>
      </c>
      <c r="H75" s="7">
        <v>33920.85</v>
      </c>
      <c r="I75" s="8">
        <v>291614.92</v>
      </c>
      <c r="J75" s="9">
        <f t="shared" si="2"/>
        <v>8.5969225417405521</v>
      </c>
    </row>
    <row r="76" spans="1:10" x14ac:dyDescent="0.3">
      <c r="A76" t="s">
        <v>38</v>
      </c>
      <c r="B76" t="s">
        <v>16</v>
      </c>
      <c r="C76" t="s">
        <v>39</v>
      </c>
      <c r="D76">
        <v>2026</v>
      </c>
      <c r="E76" t="s">
        <v>23</v>
      </c>
      <c r="F76">
        <v>2</v>
      </c>
      <c r="G76">
        <v>269</v>
      </c>
      <c r="H76" s="7">
        <v>36959.050000000003</v>
      </c>
      <c r="I76" s="8">
        <v>223956.63</v>
      </c>
      <c r="J76" s="9">
        <f t="shared" si="2"/>
        <v>6.0595883822771412</v>
      </c>
    </row>
    <row r="77" spans="1:10" x14ac:dyDescent="0.3">
      <c r="A77" t="s">
        <v>38</v>
      </c>
      <c r="B77" t="s">
        <v>16</v>
      </c>
      <c r="C77" t="s">
        <v>39</v>
      </c>
      <c r="D77">
        <v>2026</v>
      </c>
      <c r="E77" t="s">
        <v>24</v>
      </c>
      <c r="F77">
        <v>3</v>
      </c>
      <c r="G77">
        <v>269</v>
      </c>
      <c r="H77" s="7">
        <v>29910.12</v>
      </c>
      <c r="I77" s="8">
        <v>328867.69</v>
      </c>
      <c r="J77" s="9">
        <f t="shared" si="2"/>
        <v>10.99519794638069</v>
      </c>
    </row>
    <row r="78" spans="1:10" x14ac:dyDescent="0.3">
      <c r="A78" t="s">
        <v>38</v>
      </c>
      <c r="B78" t="s">
        <v>16</v>
      </c>
      <c r="C78" t="s">
        <v>39</v>
      </c>
      <c r="D78">
        <v>2026</v>
      </c>
      <c r="E78" t="s">
        <v>25</v>
      </c>
      <c r="F78">
        <v>4</v>
      </c>
      <c r="G78">
        <v>269</v>
      </c>
      <c r="H78" s="7">
        <v>41426.5</v>
      </c>
      <c r="I78" s="8">
        <v>352146.23</v>
      </c>
      <c r="J78" s="9">
        <f t="shared" si="2"/>
        <v>8.5005064391150587</v>
      </c>
    </row>
    <row r="79" spans="1:10" x14ac:dyDescent="0.3">
      <c r="A79" t="s">
        <v>38</v>
      </c>
      <c r="B79" t="s">
        <v>16</v>
      </c>
      <c r="C79" t="s">
        <v>39</v>
      </c>
      <c r="D79">
        <v>2026</v>
      </c>
      <c r="E79" t="s">
        <v>26</v>
      </c>
      <c r="F79">
        <v>5</v>
      </c>
      <c r="G79">
        <v>269</v>
      </c>
      <c r="H79" s="7">
        <v>36752.79</v>
      </c>
      <c r="I79" s="8">
        <v>409432.96</v>
      </c>
      <c r="J79" s="9">
        <f t="shared" si="2"/>
        <v>11.140187180347397</v>
      </c>
    </row>
    <row r="80" spans="1:10" x14ac:dyDescent="0.3">
      <c r="A80" t="s">
        <v>38</v>
      </c>
      <c r="B80" t="s">
        <v>16</v>
      </c>
      <c r="C80" t="s">
        <v>39</v>
      </c>
      <c r="D80">
        <v>2026</v>
      </c>
      <c r="E80" t="s">
        <v>27</v>
      </c>
      <c r="F80">
        <v>6</v>
      </c>
      <c r="G80">
        <v>269</v>
      </c>
      <c r="H80" s="7">
        <v>49368.4</v>
      </c>
      <c r="I80" s="8">
        <v>265402.27</v>
      </c>
      <c r="J80" s="9">
        <f t="shared" si="2"/>
        <v>5.3759544566969968</v>
      </c>
    </row>
    <row r="81" spans="1:10" x14ac:dyDescent="0.3">
      <c r="A81" t="s">
        <v>42</v>
      </c>
      <c r="B81" t="s">
        <v>35</v>
      </c>
      <c r="C81" t="s">
        <v>19</v>
      </c>
      <c r="D81">
        <v>2025</v>
      </c>
      <c r="E81" t="s">
        <v>26</v>
      </c>
      <c r="F81">
        <v>5</v>
      </c>
      <c r="G81">
        <v>343</v>
      </c>
      <c r="H81" s="7">
        <v>2084.86</v>
      </c>
      <c r="I81" s="8">
        <v>130359.76</v>
      </c>
      <c r="J81" s="9">
        <f t="shared" si="2"/>
        <v>62.526865113245009</v>
      </c>
    </row>
    <row r="82" spans="1:10" x14ac:dyDescent="0.3">
      <c r="A82" t="s">
        <v>42</v>
      </c>
      <c r="B82" t="s">
        <v>35</v>
      </c>
      <c r="C82" t="s">
        <v>19</v>
      </c>
      <c r="D82">
        <v>2025</v>
      </c>
      <c r="E82" t="s">
        <v>27</v>
      </c>
      <c r="F82">
        <v>6</v>
      </c>
      <c r="G82">
        <v>343</v>
      </c>
      <c r="H82" s="7">
        <v>6289.94</v>
      </c>
      <c r="I82" s="8">
        <v>300318.06</v>
      </c>
      <c r="J82" s="9">
        <f t="shared" si="2"/>
        <v>47.745774999443562</v>
      </c>
    </row>
    <row r="83" spans="1:10" x14ac:dyDescent="0.3">
      <c r="A83" t="s">
        <v>42</v>
      </c>
      <c r="B83" t="s">
        <v>35</v>
      </c>
      <c r="C83" t="s">
        <v>19</v>
      </c>
      <c r="D83">
        <v>2025</v>
      </c>
      <c r="E83" t="s">
        <v>28</v>
      </c>
      <c r="F83">
        <v>7</v>
      </c>
      <c r="G83">
        <v>343</v>
      </c>
      <c r="H83" s="7">
        <v>10722.09</v>
      </c>
      <c r="I83" s="8">
        <v>343370.22</v>
      </c>
      <c r="J83" s="9">
        <f t="shared" si="2"/>
        <v>32.024560510124424</v>
      </c>
    </row>
    <row r="84" spans="1:10" x14ac:dyDescent="0.3">
      <c r="A84" t="s">
        <v>42</v>
      </c>
      <c r="B84" t="s">
        <v>35</v>
      </c>
      <c r="C84" t="s">
        <v>19</v>
      </c>
      <c r="D84">
        <v>2025</v>
      </c>
      <c r="E84" t="s">
        <v>29</v>
      </c>
      <c r="F84">
        <v>8</v>
      </c>
      <c r="G84">
        <v>343</v>
      </c>
      <c r="H84" s="7">
        <v>9509.86</v>
      </c>
      <c r="I84" s="8">
        <v>208213.09</v>
      </c>
      <c r="J84" s="9">
        <f t="shared" si="2"/>
        <v>21.894443241015114</v>
      </c>
    </row>
    <row r="85" spans="1:10" x14ac:dyDescent="0.3">
      <c r="A85" t="s">
        <v>42</v>
      </c>
      <c r="B85" t="s">
        <v>35</v>
      </c>
      <c r="C85" t="s">
        <v>19</v>
      </c>
      <c r="D85">
        <v>2025</v>
      </c>
      <c r="E85" t="s">
        <v>30</v>
      </c>
      <c r="F85">
        <v>9</v>
      </c>
      <c r="G85">
        <v>343</v>
      </c>
      <c r="H85" s="7">
        <v>10732.71</v>
      </c>
      <c r="I85" s="8">
        <v>222086.5</v>
      </c>
      <c r="J85" s="9">
        <f t="shared" si="2"/>
        <v>20.692490526623754</v>
      </c>
    </row>
    <row r="86" spans="1:10" x14ac:dyDescent="0.3">
      <c r="A86" t="s">
        <v>42</v>
      </c>
      <c r="B86" t="s">
        <v>35</v>
      </c>
      <c r="C86" t="s">
        <v>19</v>
      </c>
      <c r="D86">
        <v>2025</v>
      </c>
      <c r="E86" t="s">
        <v>31</v>
      </c>
      <c r="F86">
        <v>10</v>
      </c>
      <c r="G86">
        <v>343</v>
      </c>
      <c r="H86" s="7">
        <v>8202.67</v>
      </c>
      <c r="I86" s="8">
        <v>184686.96</v>
      </c>
      <c r="J86" s="9">
        <f t="shared" si="2"/>
        <v>22.515468743713935</v>
      </c>
    </row>
    <row r="87" spans="1:10" x14ac:dyDescent="0.3">
      <c r="A87" t="s">
        <v>42</v>
      </c>
      <c r="B87" t="s">
        <v>35</v>
      </c>
      <c r="C87" t="s">
        <v>19</v>
      </c>
      <c r="D87">
        <v>2025</v>
      </c>
      <c r="E87" t="s">
        <v>32</v>
      </c>
      <c r="F87">
        <v>11</v>
      </c>
      <c r="G87">
        <v>343</v>
      </c>
      <c r="H87" s="7">
        <v>8502.48</v>
      </c>
      <c r="I87" s="8">
        <v>106601.9</v>
      </c>
      <c r="J87" s="9">
        <f t="shared" si="2"/>
        <v>12.537741929413535</v>
      </c>
    </row>
    <row r="88" spans="1:10" x14ac:dyDescent="0.3">
      <c r="A88" t="s">
        <v>42</v>
      </c>
      <c r="B88" t="s">
        <v>35</v>
      </c>
      <c r="C88" t="s">
        <v>19</v>
      </c>
      <c r="D88">
        <v>2025</v>
      </c>
      <c r="E88" t="s">
        <v>18</v>
      </c>
      <c r="F88">
        <v>12</v>
      </c>
      <c r="G88">
        <v>343</v>
      </c>
      <c r="H88" s="7">
        <v>10836.15</v>
      </c>
      <c r="I88" s="8">
        <v>123666.11</v>
      </c>
      <c r="J88" s="9">
        <f t="shared" si="2"/>
        <v>11.412366015605174</v>
      </c>
    </row>
    <row r="89" spans="1:10" x14ac:dyDescent="0.3">
      <c r="A89" t="s">
        <v>42</v>
      </c>
      <c r="B89" t="s">
        <v>35</v>
      </c>
      <c r="C89" t="s">
        <v>19</v>
      </c>
      <c r="D89">
        <v>2026</v>
      </c>
      <c r="E89" t="s">
        <v>22</v>
      </c>
      <c r="F89">
        <v>1</v>
      </c>
      <c r="G89">
        <v>343</v>
      </c>
      <c r="H89" s="7">
        <v>8913.31</v>
      </c>
      <c r="I89" s="8">
        <v>107861.3</v>
      </c>
      <c r="J89" s="9">
        <f t="shared" si="2"/>
        <v>12.101149853421457</v>
      </c>
    </row>
    <row r="90" spans="1:10" x14ac:dyDescent="0.3">
      <c r="A90" t="s">
        <v>42</v>
      </c>
      <c r="B90" t="s">
        <v>35</v>
      </c>
      <c r="C90" t="s">
        <v>19</v>
      </c>
      <c r="D90">
        <v>2026</v>
      </c>
      <c r="E90" t="s">
        <v>23</v>
      </c>
      <c r="F90">
        <v>2</v>
      </c>
      <c r="G90">
        <v>343</v>
      </c>
      <c r="H90" s="7">
        <v>9415.4500000000007</v>
      </c>
      <c r="I90" s="8">
        <v>177808.59</v>
      </c>
      <c r="J90" s="9">
        <f t="shared" si="2"/>
        <v>18.884768120482821</v>
      </c>
    </row>
    <row r="91" spans="1:10" x14ac:dyDescent="0.3">
      <c r="A91" t="s">
        <v>42</v>
      </c>
      <c r="B91" t="s">
        <v>35</v>
      </c>
      <c r="C91" t="s">
        <v>19</v>
      </c>
      <c r="D91">
        <v>2026</v>
      </c>
      <c r="E91" t="s">
        <v>24</v>
      </c>
      <c r="F91">
        <v>3</v>
      </c>
      <c r="G91">
        <v>343</v>
      </c>
      <c r="H91" s="7">
        <v>7995.78</v>
      </c>
      <c r="I91" s="8">
        <v>146306.10999999999</v>
      </c>
      <c r="J91" s="9">
        <f t="shared" si="2"/>
        <v>18.297915900637584</v>
      </c>
    </row>
    <row r="92" spans="1:10" x14ac:dyDescent="0.3">
      <c r="A92" t="s">
        <v>42</v>
      </c>
      <c r="B92" t="s">
        <v>35</v>
      </c>
      <c r="C92" t="s">
        <v>19</v>
      </c>
      <c r="D92">
        <v>2026</v>
      </c>
      <c r="E92" t="s">
        <v>25</v>
      </c>
      <c r="F92">
        <v>4</v>
      </c>
      <c r="G92">
        <v>343</v>
      </c>
      <c r="H92" s="7">
        <v>10265.459999999999</v>
      </c>
      <c r="I92" s="8">
        <v>150525.81</v>
      </c>
      <c r="J92" s="9">
        <f t="shared" si="2"/>
        <v>14.663328287285715</v>
      </c>
    </row>
    <row r="93" spans="1:10" x14ac:dyDescent="0.3">
      <c r="A93" t="s">
        <v>42</v>
      </c>
      <c r="B93" t="s">
        <v>35</v>
      </c>
      <c r="C93" t="s">
        <v>19</v>
      </c>
      <c r="D93">
        <v>2026</v>
      </c>
      <c r="E93" t="s">
        <v>26</v>
      </c>
      <c r="F93">
        <v>5</v>
      </c>
      <c r="G93">
        <v>343</v>
      </c>
      <c r="H93" s="7">
        <v>10429.57</v>
      </c>
      <c r="I93" s="8">
        <v>275125.96000000002</v>
      </c>
      <c r="J93" s="9">
        <f t="shared" si="2"/>
        <v>26.379415450493166</v>
      </c>
    </row>
    <row r="94" spans="1:10" x14ac:dyDescent="0.3">
      <c r="A94" t="s">
        <v>44</v>
      </c>
      <c r="B94" t="s">
        <v>35</v>
      </c>
      <c r="C94" t="s">
        <v>36</v>
      </c>
      <c r="D94">
        <v>2024</v>
      </c>
      <c r="E94" t="s">
        <v>22</v>
      </c>
      <c r="F94">
        <v>1</v>
      </c>
      <c r="G94">
        <v>685</v>
      </c>
      <c r="H94" s="7">
        <v>71579.259999999995</v>
      </c>
      <c r="I94" s="8">
        <v>967947.8</v>
      </c>
      <c r="J94" s="9">
        <f t="shared" si="2"/>
        <v>13.522741084498501</v>
      </c>
    </row>
    <row r="95" spans="1:10" x14ac:dyDescent="0.3">
      <c r="A95" t="s">
        <v>44</v>
      </c>
      <c r="B95" t="s">
        <v>35</v>
      </c>
      <c r="C95" t="s">
        <v>36</v>
      </c>
      <c r="D95">
        <v>2024</v>
      </c>
      <c r="E95" t="s">
        <v>23</v>
      </c>
      <c r="F95">
        <v>2</v>
      </c>
      <c r="G95">
        <v>685</v>
      </c>
      <c r="H95" s="7">
        <v>53691.25</v>
      </c>
      <c r="I95" s="8">
        <v>823094.98</v>
      </c>
      <c r="J95" s="9">
        <f t="shared" si="2"/>
        <v>15.330151188508369</v>
      </c>
    </row>
    <row r="96" spans="1:10" x14ac:dyDescent="0.3">
      <c r="A96" t="s">
        <v>44</v>
      </c>
      <c r="B96" t="s">
        <v>35</v>
      </c>
      <c r="C96" t="s">
        <v>36</v>
      </c>
      <c r="D96">
        <v>2024</v>
      </c>
      <c r="E96" t="s">
        <v>24</v>
      </c>
      <c r="F96">
        <v>3</v>
      </c>
      <c r="G96">
        <v>685</v>
      </c>
      <c r="H96" s="7">
        <v>69795.66</v>
      </c>
      <c r="I96" s="8">
        <v>869873.72</v>
      </c>
      <c r="J96" s="9">
        <f t="shared" si="2"/>
        <v>12.46314914136495</v>
      </c>
    </row>
    <row r="97" spans="1:10" x14ac:dyDescent="0.3">
      <c r="A97" t="s">
        <v>44</v>
      </c>
      <c r="B97" t="s">
        <v>35</v>
      </c>
      <c r="C97" t="s">
        <v>36</v>
      </c>
      <c r="D97">
        <v>2024</v>
      </c>
      <c r="E97" t="s">
        <v>25</v>
      </c>
      <c r="F97">
        <v>4</v>
      </c>
      <c r="G97">
        <v>685</v>
      </c>
      <c r="H97" s="7">
        <v>74656.23</v>
      </c>
      <c r="I97" s="8">
        <v>986406.08</v>
      </c>
      <c r="J97" s="9">
        <f t="shared" si="2"/>
        <v>13.212642534990048</v>
      </c>
    </row>
    <row r="98" spans="1:10" x14ac:dyDescent="0.3">
      <c r="A98" t="s">
        <v>44</v>
      </c>
      <c r="B98" t="s">
        <v>35</v>
      </c>
      <c r="C98" t="s">
        <v>36</v>
      </c>
      <c r="D98">
        <v>2024</v>
      </c>
      <c r="E98" t="s">
        <v>26</v>
      </c>
      <c r="F98">
        <v>5</v>
      </c>
      <c r="G98">
        <v>817</v>
      </c>
      <c r="H98" s="7">
        <v>100970.16</v>
      </c>
      <c r="I98" s="8">
        <v>1495983.55</v>
      </c>
      <c r="J98" s="9">
        <f t="shared" ref="J98:J123" si="3">IF(H98=0,0,I98/H98)</f>
        <v>14.81609566628398</v>
      </c>
    </row>
    <row r="99" spans="1:10" x14ac:dyDescent="0.3">
      <c r="A99" t="s">
        <v>44</v>
      </c>
      <c r="B99" t="s">
        <v>35</v>
      </c>
      <c r="C99" t="s">
        <v>36</v>
      </c>
      <c r="D99">
        <v>2024</v>
      </c>
      <c r="E99" t="s">
        <v>27</v>
      </c>
      <c r="F99">
        <v>6</v>
      </c>
      <c r="G99">
        <v>817</v>
      </c>
      <c r="H99" s="7">
        <v>78838.05</v>
      </c>
      <c r="I99" s="8">
        <v>1754555.98</v>
      </c>
      <c r="J99" s="9">
        <f t="shared" si="3"/>
        <v>22.255192511737668</v>
      </c>
    </row>
    <row r="100" spans="1:10" x14ac:dyDescent="0.3">
      <c r="A100" t="s">
        <v>44</v>
      </c>
      <c r="B100" t="s">
        <v>35</v>
      </c>
      <c r="C100" t="s">
        <v>36</v>
      </c>
      <c r="D100">
        <v>2024</v>
      </c>
      <c r="E100" t="s">
        <v>28</v>
      </c>
      <c r="F100">
        <v>7</v>
      </c>
      <c r="G100">
        <v>817</v>
      </c>
      <c r="H100" s="7">
        <v>110979.88</v>
      </c>
      <c r="I100" s="8">
        <v>1105825.31</v>
      </c>
      <c r="J100" s="9">
        <f t="shared" si="3"/>
        <v>9.964196302969512</v>
      </c>
    </row>
    <row r="101" spans="1:10" x14ac:dyDescent="0.3">
      <c r="A101" t="s">
        <v>44</v>
      </c>
      <c r="B101" t="s">
        <v>35</v>
      </c>
      <c r="C101" t="s">
        <v>36</v>
      </c>
      <c r="D101">
        <v>2024</v>
      </c>
      <c r="E101" t="s">
        <v>29</v>
      </c>
      <c r="F101">
        <v>8</v>
      </c>
      <c r="G101">
        <v>817</v>
      </c>
      <c r="H101" s="7">
        <v>89665.82</v>
      </c>
      <c r="I101" s="8">
        <v>1369418.99</v>
      </c>
      <c r="J101" s="9">
        <f t="shared" si="3"/>
        <v>15.272474951993969</v>
      </c>
    </row>
    <row r="102" spans="1:10" x14ac:dyDescent="0.3">
      <c r="A102" t="s">
        <v>44</v>
      </c>
      <c r="B102" t="s">
        <v>35</v>
      </c>
      <c r="C102" t="s">
        <v>36</v>
      </c>
      <c r="D102">
        <v>2024</v>
      </c>
      <c r="E102" t="s">
        <v>30</v>
      </c>
      <c r="F102">
        <v>9</v>
      </c>
      <c r="G102">
        <v>817</v>
      </c>
      <c r="H102" s="7">
        <v>73131.37</v>
      </c>
      <c r="I102" s="8">
        <v>1262200.3600000001</v>
      </c>
      <c r="J102" s="9">
        <f t="shared" si="3"/>
        <v>17.259356142241014</v>
      </c>
    </row>
    <row r="103" spans="1:10" x14ac:dyDescent="0.3">
      <c r="A103" t="s">
        <v>44</v>
      </c>
      <c r="B103" t="s">
        <v>35</v>
      </c>
      <c r="C103" t="s">
        <v>36</v>
      </c>
      <c r="D103">
        <v>2024</v>
      </c>
      <c r="E103" t="s">
        <v>31</v>
      </c>
      <c r="F103">
        <v>10</v>
      </c>
      <c r="G103">
        <v>817</v>
      </c>
      <c r="H103" s="7">
        <v>88700.44</v>
      </c>
      <c r="I103" s="8">
        <v>1126832.52</v>
      </c>
      <c r="J103" s="9">
        <f t="shared" si="3"/>
        <v>12.703798538090679</v>
      </c>
    </row>
    <row r="104" spans="1:10" x14ac:dyDescent="0.3">
      <c r="A104" t="s">
        <v>44</v>
      </c>
      <c r="B104" t="s">
        <v>35</v>
      </c>
      <c r="C104" t="s">
        <v>36</v>
      </c>
      <c r="D104">
        <v>2024</v>
      </c>
      <c r="E104" t="s">
        <v>32</v>
      </c>
      <c r="F104">
        <v>11</v>
      </c>
      <c r="G104">
        <v>817</v>
      </c>
      <c r="H104" s="7">
        <v>60246.400000000001</v>
      </c>
      <c r="I104" s="8">
        <v>1147117.5</v>
      </c>
      <c r="J104" s="9">
        <f t="shared" si="3"/>
        <v>19.040432291390026</v>
      </c>
    </row>
    <row r="105" spans="1:10" x14ac:dyDescent="0.3">
      <c r="A105" t="s">
        <v>44</v>
      </c>
      <c r="B105" t="s">
        <v>35</v>
      </c>
      <c r="C105" t="s">
        <v>36</v>
      </c>
      <c r="D105">
        <v>2024</v>
      </c>
      <c r="E105" t="s">
        <v>18</v>
      </c>
      <c r="F105">
        <v>12</v>
      </c>
      <c r="G105">
        <v>817</v>
      </c>
      <c r="H105" s="7">
        <v>64131.05</v>
      </c>
      <c r="I105" s="8">
        <v>1121211.71</v>
      </c>
      <c r="J105" s="9">
        <f t="shared" si="3"/>
        <v>17.483133521125882</v>
      </c>
    </row>
    <row r="106" spans="1:10" x14ac:dyDescent="0.3">
      <c r="A106" t="s">
        <v>44</v>
      </c>
      <c r="B106" t="s">
        <v>35</v>
      </c>
      <c r="C106" t="s">
        <v>36</v>
      </c>
      <c r="D106">
        <v>2025</v>
      </c>
      <c r="E106" t="s">
        <v>22</v>
      </c>
      <c r="F106">
        <v>1</v>
      </c>
      <c r="G106">
        <v>685</v>
      </c>
      <c r="H106" s="7">
        <v>55836.55</v>
      </c>
      <c r="I106" s="8">
        <v>721952.22</v>
      </c>
      <c r="J106" s="9">
        <f t="shared" si="3"/>
        <v>12.929742614828458</v>
      </c>
    </row>
    <row r="107" spans="1:10" x14ac:dyDescent="0.3">
      <c r="A107" t="s">
        <v>44</v>
      </c>
      <c r="B107" t="s">
        <v>35</v>
      </c>
      <c r="C107" t="s">
        <v>36</v>
      </c>
      <c r="D107">
        <v>2025</v>
      </c>
      <c r="E107" t="s">
        <v>23</v>
      </c>
      <c r="F107">
        <v>2</v>
      </c>
      <c r="G107">
        <v>685</v>
      </c>
      <c r="H107" s="7">
        <v>69066.649999999994</v>
      </c>
      <c r="I107" s="8">
        <v>1088960.51</v>
      </c>
      <c r="J107" s="9">
        <f t="shared" si="3"/>
        <v>15.766806555696563</v>
      </c>
    </row>
    <row r="108" spans="1:10" x14ac:dyDescent="0.3">
      <c r="A108" t="s">
        <v>44</v>
      </c>
      <c r="B108" t="s">
        <v>35</v>
      </c>
      <c r="C108" t="s">
        <v>36</v>
      </c>
      <c r="D108">
        <v>2025</v>
      </c>
      <c r="E108" t="s">
        <v>24</v>
      </c>
      <c r="F108">
        <v>3</v>
      </c>
      <c r="G108">
        <v>817</v>
      </c>
      <c r="H108" s="7">
        <v>65680.740000000005</v>
      </c>
      <c r="I108" s="8">
        <v>912306.44</v>
      </c>
      <c r="J108" s="9">
        <f t="shared" si="3"/>
        <v>13.89001463747211</v>
      </c>
    </row>
    <row r="109" spans="1:10" x14ac:dyDescent="0.3">
      <c r="A109" t="s">
        <v>44</v>
      </c>
      <c r="B109" t="s">
        <v>35</v>
      </c>
      <c r="C109" t="s">
        <v>36</v>
      </c>
      <c r="D109">
        <v>2025</v>
      </c>
      <c r="E109" t="s">
        <v>25</v>
      </c>
      <c r="F109">
        <v>4</v>
      </c>
      <c r="G109">
        <v>817</v>
      </c>
      <c r="H109" s="7">
        <v>90335.79</v>
      </c>
      <c r="I109" s="8">
        <v>1538455.17</v>
      </c>
      <c r="J109" s="9">
        <f t="shared" si="3"/>
        <v>17.030405888961617</v>
      </c>
    </row>
    <row r="110" spans="1:10" x14ac:dyDescent="0.3">
      <c r="A110" t="s">
        <v>44</v>
      </c>
      <c r="B110" t="s">
        <v>35</v>
      </c>
      <c r="C110" t="s">
        <v>36</v>
      </c>
      <c r="D110">
        <v>2025</v>
      </c>
      <c r="E110" t="s">
        <v>26</v>
      </c>
      <c r="F110">
        <v>5</v>
      </c>
      <c r="G110">
        <v>817</v>
      </c>
      <c r="H110" s="7">
        <v>104181.09</v>
      </c>
      <c r="I110" s="8">
        <v>1286455.0900000001</v>
      </c>
      <c r="J110" s="9">
        <f t="shared" si="3"/>
        <v>12.348259074655488</v>
      </c>
    </row>
    <row r="111" spans="1:10" x14ac:dyDescent="0.3">
      <c r="A111" t="s">
        <v>44</v>
      </c>
      <c r="B111" t="s">
        <v>35</v>
      </c>
      <c r="C111" t="s">
        <v>36</v>
      </c>
      <c r="D111">
        <v>2025</v>
      </c>
      <c r="E111" t="s">
        <v>27</v>
      </c>
      <c r="F111">
        <v>6</v>
      </c>
      <c r="G111">
        <v>817</v>
      </c>
      <c r="H111" s="7">
        <v>111466.7</v>
      </c>
      <c r="I111" s="8">
        <v>1725119.46</v>
      </c>
      <c r="J111" s="9">
        <f t="shared" si="3"/>
        <v>15.476545551272263</v>
      </c>
    </row>
    <row r="112" spans="1:10" x14ac:dyDescent="0.3">
      <c r="A112" t="s">
        <v>44</v>
      </c>
      <c r="B112" t="s">
        <v>35</v>
      </c>
      <c r="C112" t="s">
        <v>36</v>
      </c>
      <c r="D112">
        <v>2025</v>
      </c>
      <c r="E112" t="s">
        <v>28</v>
      </c>
      <c r="F112">
        <v>7</v>
      </c>
      <c r="G112">
        <v>817</v>
      </c>
      <c r="H112" s="7">
        <v>115409.84</v>
      </c>
      <c r="I112" s="8">
        <v>1540947.93</v>
      </c>
      <c r="J112" s="9">
        <f t="shared" si="3"/>
        <v>13.351963142830801</v>
      </c>
    </row>
    <row r="113" spans="1:10" x14ac:dyDescent="0.3">
      <c r="A113" t="s">
        <v>44</v>
      </c>
      <c r="B113" t="s">
        <v>35</v>
      </c>
      <c r="C113" t="s">
        <v>36</v>
      </c>
      <c r="D113">
        <v>2025</v>
      </c>
      <c r="E113" t="s">
        <v>29</v>
      </c>
      <c r="F113">
        <v>8</v>
      </c>
      <c r="G113">
        <v>817</v>
      </c>
      <c r="H113" s="7">
        <v>124801.67</v>
      </c>
      <c r="I113" s="8">
        <v>1111557.9099999999</v>
      </c>
      <c r="J113" s="9">
        <f t="shared" si="3"/>
        <v>8.9065948396363606</v>
      </c>
    </row>
    <row r="114" spans="1:10" x14ac:dyDescent="0.3">
      <c r="A114" t="s">
        <v>44</v>
      </c>
      <c r="B114" t="s">
        <v>35</v>
      </c>
      <c r="C114" t="s">
        <v>36</v>
      </c>
      <c r="D114">
        <v>2025</v>
      </c>
      <c r="E114" t="s">
        <v>30</v>
      </c>
      <c r="F114">
        <v>9</v>
      </c>
      <c r="G114">
        <v>817</v>
      </c>
      <c r="H114" s="7">
        <v>82129.03</v>
      </c>
      <c r="I114" s="8">
        <v>1873403.1</v>
      </c>
      <c r="J114" s="9">
        <f t="shared" si="3"/>
        <v>22.81048613383112</v>
      </c>
    </row>
    <row r="115" spans="1:10" x14ac:dyDescent="0.3">
      <c r="A115" t="s">
        <v>44</v>
      </c>
      <c r="B115" t="s">
        <v>35</v>
      </c>
      <c r="C115" t="s">
        <v>36</v>
      </c>
      <c r="D115">
        <v>2025</v>
      </c>
      <c r="E115" t="s">
        <v>31</v>
      </c>
      <c r="F115">
        <v>10</v>
      </c>
      <c r="G115">
        <v>817</v>
      </c>
      <c r="H115" s="7">
        <v>81671.7</v>
      </c>
      <c r="I115" s="8">
        <v>1419405.75</v>
      </c>
      <c r="J115" s="9">
        <f t="shared" si="3"/>
        <v>17.37940743243988</v>
      </c>
    </row>
    <row r="116" spans="1:10" x14ac:dyDescent="0.3">
      <c r="A116" t="s">
        <v>44</v>
      </c>
      <c r="B116" t="s">
        <v>35</v>
      </c>
      <c r="C116" t="s">
        <v>36</v>
      </c>
      <c r="D116">
        <v>2025</v>
      </c>
      <c r="E116" t="s">
        <v>32</v>
      </c>
      <c r="F116">
        <v>11</v>
      </c>
      <c r="G116">
        <v>817</v>
      </c>
      <c r="H116" s="7">
        <v>89112.89</v>
      </c>
      <c r="I116" s="8">
        <v>962845.74</v>
      </c>
      <c r="J116" s="9">
        <f t="shared" si="3"/>
        <v>10.804786378266938</v>
      </c>
    </row>
    <row r="117" spans="1:10" x14ac:dyDescent="0.3">
      <c r="A117" t="s">
        <v>44</v>
      </c>
      <c r="B117" t="s">
        <v>35</v>
      </c>
      <c r="C117" t="s">
        <v>36</v>
      </c>
      <c r="D117">
        <v>2025</v>
      </c>
      <c r="E117" t="s">
        <v>18</v>
      </c>
      <c r="F117">
        <v>12</v>
      </c>
      <c r="G117">
        <v>817</v>
      </c>
      <c r="H117" s="7">
        <v>89598.55</v>
      </c>
      <c r="I117" s="8">
        <v>999360.73</v>
      </c>
      <c r="J117" s="9">
        <f t="shared" si="3"/>
        <v>11.15376007759054</v>
      </c>
    </row>
    <row r="118" spans="1:10" x14ac:dyDescent="0.3">
      <c r="A118" t="s">
        <v>44</v>
      </c>
      <c r="B118" t="s">
        <v>35</v>
      </c>
      <c r="C118" t="s">
        <v>36</v>
      </c>
      <c r="D118">
        <v>2026</v>
      </c>
      <c r="E118" t="s">
        <v>22</v>
      </c>
      <c r="F118">
        <v>1</v>
      </c>
      <c r="G118">
        <v>817</v>
      </c>
      <c r="H118" s="7">
        <v>56710.11</v>
      </c>
      <c r="I118" s="8">
        <v>1246832.08</v>
      </c>
      <c r="J118" s="9">
        <f t="shared" si="3"/>
        <v>21.986063507900091</v>
      </c>
    </row>
    <row r="119" spans="1:10" x14ac:dyDescent="0.3">
      <c r="A119" t="s">
        <v>44</v>
      </c>
      <c r="B119" t="s">
        <v>35</v>
      </c>
      <c r="C119" t="s">
        <v>36</v>
      </c>
      <c r="D119">
        <v>2026</v>
      </c>
      <c r="E119" t="s">
        <v>23</v>
      </c>
      <c r="F119">
        <v>2</v>
      </c>
      <c r="G119">
        <v>817</v>
      </c>
      <c r="H119" s="7">
        <v>85065.93</v>
      </c>
      <c r="I119" s="8">
        <v>1130922.04</v>
      </c>
      <c r="J119" s="9">
        <f t="shared" si="3"/>
        <v>13.294653217804122</v>
      </c>
    </row>
    <row r="120" spans="1:10" x14ac:dyDescent="0.3">
      <c r="A120" t="s">
        <v>44</v>
      </c>
      <c r="B120" t="s">
        <v>35</v>
      </c>
      <c r="C120" t="s">
        <v>36</v>
      </c>
      <c r="D120">
        <v>2026</v>
      </c>
      <c r="E120" t="s">
        <v>24</v>
      </c>
      <c r="F120">
        <v>3</v>
      </c>
      <c r="G120">
        <v>817</v>
      </c>
      <c r="H120" s="7">
        <v>110920.24</v>
      </c>
      <c r="I120" s="8">
        <v>1217500.9099999999</v>
      </c>
      <c r="J120" s="9">
        <f t="shared" si="3"/>
        <v>10.976363826836291</v>
      </c>
    </row>
    <row r="121" spans="1:10" x14ac:dyDescent="0.3">
      <c r="A121" t="s">
        <v>44</v>
      </c>
      <c r="B121" t="s">
        <v>35</v>
      </c>
      <c r="C121" t="s">
        <v>36</v>
      </c>
      <c r="D121">
        <v>2026</v>
      </c>
      <c r="E121" t="s">
        <v>25</v>
      </c>
      <c r="F121">
        <v>4</v>
      </c>
      <c r="G121">
        <v>817</v>
      </c>
      <c r="H121" s="7">
        <v>80014.03</v>
      </c>
      <c r="I121" s="8">
        <v>1072194.8899999999</v>
      </c>
      <c r="J121" s="9">
        <f t="shared" si="3"/>
        <v>13.40008608490286</v>
      </c>
    </row>
    <row r="122" spans="1:10" x14ac:dyDescent="0.3">
      <c r="A122" t="s">
        <v>44</v>
      </c>
      <c r="B122" t="s">
        <v>35</v>
      </c>
      <c r="C122" t="s">
        <v>36</v>
      </c>
      <c r="D122">
        <v>2026</v>
      </c>
      <c r="E122" t="s">
        <v>26</v>
      </c>
      <c r="F122">
        <v>5</v>
      </c>
      <c r="G122">
        <v>817</v>
      </c>
      <c r="H122" s="7">
        <v>94011.6</v>
      </c>
      <c r="I122" s="8">
        <v>1752521.5</v>
      </c>
      <c r="J122" s="9">
        <f t="shared" si="3"/>
        <v>18.641545298665271</v>
      </c>
    </row>
    <row r="123" spans="1:10" x14ac:dyDescent="0.3">
      <c r="A123" t="s">
        <v>44</v>
      </c>
      <c r="B123" t="s">
        <v>35</v>
      </c>
      <c r="C123" t="s">
        <v>36</v>
      </c>
      <c r="D123">
        <v>2026</v>
      </c>
      <c r="E123" t="s">
        <v>27</v>
      </c>
      <c r="F123">
        <v>6</v>
      </c>
      <c r="G123">
        <v>817</v>
      </c>
      <c r="H123" s="7">
        <v>118818.58</v>
      </c>
      <c r="I123" s="8">
        <v>1731529.43</v>
      </c>
      <c r="J123" s="9">
        <f t="shared" si="3"/>
        <v>14.572884392323152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zoomScaleNormal="100" workbookViewId="0">
      <selection activeCell="E41" sqref="E41"/>
    </sheetView>
  </sheetViews>
  <sheetFormatPr defaultColWidth="8.5546875" defaultRowHeight="14.4" x14ac:dyDescent="0.3"/>
  <cols>
    <col min="1" max="1" width="24" customWidth="1"/>
    <col min="2" max="4" width="12" customWidth="1"/>
    <col min="5" max="7" width="13.33203125" bestFit="1" customWidth="1"/>
    <col min="8" max="11" width="12" customWidth="1"/>
  </cols>
  <sheetData>
    <row r="1" spans="1:6" ht="15.6" x14ac:dyDescent="0.3">
      <c r="A1" s="10" t="s">
        <v>69</v>
      </c>
    </row>
    <row r="3" spans="1:6" x14ac:dyDescent="0.3">
      <c r="A3" s="6" t="s">
        <v>70</v>
      </c>
    </row>
    <row r="4" spans="1:6" x14ac:dyDescent="0.3">
      <c r="A4" s="6" t="s">
        <v>71</v>
      </c>
      <c r="B4" s="6">
        <v>2024</v>
      </c>
      <c r="C4" s="6">
        <v>2025</v>
      </c>
      <c r="D4" s="6">
        <v>2026</v>
      </c>
    </row>
    <row r="5" spans="1:6" x14ac:dyDescent="0.3">
      <c r="A5" t="s">
        <v>13</v>
      </c>
      <c r="B5" s="8">
        <f>SUMIFS(Data!$I$2:$I$123,Data!$D$2:$D$123,B$4)</f>
        <v>26494374.43</v>
      </c>
      <c r="C5" s="8">
        <f>SUMIFS(Data!$I$2:$I$123,Data!$D$2:$D$123,C$4)</f>
        <v>29272429.980000004</v>
      </c>
      <c r="D5" s="8">
        <f>SUMIFS(Data!$I$2:$I$123,Data!$D$2:$D$123,D$4)</f>
        <v>14421758.400000002</v>
      </c>
    </row>
    <row r="6" spans="1:6" x14ac:dyDescent="0.3">
      <c r="A6" t="s">
        <v>72</v>
      </c>
      <c r="B6" s="7">
        <f>SUMIFS(Data!$H$2:$H$123,Data!$D$2:$D$123,B$4)</f>
        <v>1747639.26</v>
      </c>
      <c r="C6" s="7">
        <f>SUMIFS(Data!$H$2:$H$123,Data!$D$2:$D$123,C$4)</f>
        <v>2216183.0699999998</v>
      </c>
      <c r="D6" s="7">
        <f>SUMIFS(Data!$H$2:$H$123,Data!$D$2:$D$123,D$4)</f>
        <v>1082252.7</v>
      </c>
    </row>
    <row r="7" spans="1:6" x14ac:dyDescent="0.3">
      <c r="A7" t="s">
        <v>68</v>
      </c>
      <c r="B7" s="9">
        <f>IF(B6=0,0,B5/B6)</f>
        <v>15.160093410810649</v>
      </c>
      <c r="C7" s="9">
        <f>IF(C6=0,0,C5/C6)</f>
        <v>13.208489125404251</v>
      </c>
      <c r="D7" s="9">
        <f>IF(D6=0,0,D5/D6)</f>
        <v>13.3256848423663</v>
      </c>
    </row>
    <row r="8" spans="1:6" x14ac:dyDescent="0.3">
      <c r="A8" s="11" t="s">
        <v>73</v>
      </c>
    </row>
    <row r="10" spans="1:6" x14ac:dyDescent="0.3">
      <c r="A10" s="6" t="s">
        <v>74</v>
      </c>
    </row>
    <row r="11" spans="1:6" x14ac:dyDescent="0.3">
      <c r="A11" s="6" t="s">
        <v>71</v>
      </c>
      <c r="B11" s="6">
        <v>2024</v>
      </c>
      <c r="C11" s="6">
        <v>2025</v>
      </c>
      <c r="D11" s="6">
        <v>2026</v>
      </c>
      <c r="E11" s="6" t="s">
        <v>75</v>
      </c>
      <c r="F11" s="6" t="s">
        <v>76</v>
      </c>
    </row>
    <row r="12" spans="1:6" x14ac:dyDescent="0.3">
      <c r="A12" t="s">
        <v>77</v>
      </c>
      <c r="B12" s="8">
        <f>SUMIFS(Data!$I$2:$I$123,Data!$D$2:$D$123,B$11,Data!$F$2:$F$123,"&lt;=6")</f>
        <v>10048159.34</v>
      </c>
      <c r="C12" s="8">
        <f>SUMIFS(Data!$I$2:$I$123,Data!$D$2:$D$123,C$11,Data!$F$2:$F$123,"&lt;=6")</f>
        <v>13255457.559999999</v>
      </c>
      <c r="D12" s="8">
        <f>SUMIFS(Data!$I$2:$I$123,Data!$D$2:$D$123,D$11,Data!$F$2:$F$123,"&lt;=6")</f>
        <v>14421758.400000002</v>
      </c>
      <c r="E12" s="12">
        <f t="shared" ref="E12:F16" si="0">IF(B12=0,"",C12/B12-1)</f>
        <v>0.31919261144996924</v>
      </c>
      <c r="F12" s="12">
        <f t="shared" si="0"/>
        <v>8.7986464044776724E-2</v>
      </c>
    </row>
    <row r="13" spans="1:6" x14ac:dyDescent="0.3">
      <c r="A13" t="s">
        <v>78</v>
      </c>
      <c r="B13" s="7">
        <f>SUMIFS(Data!$H$2:$H$123,Data!$D$2:$D$123,B$11,Data!$F$2:$F$123,"&lt;=6")</f>
        <v>823543.03</v>
      </c>
      <c r="C13" s="7">
        <f>SUMIFS(Data!$H$2:$H$123,Data!$D$2:$D$123,C$11,Data!$F$2:$F$123,"&lt;=6")</f>
        <v>1015379.83</v>
      </c>
      <c r="D13" s="7">
        <f>SUMIFS(Data!$H$2:$H$123,Data!$D$2:$D$123,D$11,Data!$F$2:$F$123,"&lt;=6")</f>
        <v>1082252.7</v>
      </c>
      <c r="E13" s="12">
        <f t="shared" si="0"/>
        <v>0.23294083370482777</v>
      </c>
      <c r="F13" s="12">
        <f t="shared" si="0"/>
        <v>6.5859955086954969E-2</v>
      </c>
    </row>
    <row r="14" spans="1:6" x14ac:dyDescent="0.3">
      <c r="A14" t="s">
        <v>79</v>
      </c>
      <c r="B14" s="9">
        <f>IF(B13=0,0,B12/B13)</f>
        <v>12.201134578238127</v>
      </c>
      <c r="C14" s="9">
        <f>IF(C13=0,0,C12/C13)</f>
        <v>13.054678819058282</v>
      </c>
      <c r="D14" s="9">
        <f>IF(D13=0,0,D12/D13)</f>
        <v>13.3256848423663</v>
      </c>
      <c r="E14" s="12">
        <f t="shared" si="0"/>
        <v>6.9956136894230303E-2</v>
      </c>
      <c r="F14" s="12">
        <f t="shared" si="0"/>
        <v>2.0759302244371058E-2</v>
      </c>
    </row>
    <row r="15" spans="1:6" x14ac:dyDescent="0.3">
      <c r="A15" t="s">
        <v>80</v>
      </c>
      <c r="B15" s="7">
        <f>SUM(PassengerData!C3:H3)</f>
        <v>7302574</v>
      </c>
      <c r="C15" s="7">
        <f>SUM(PassengerData!C4:H4)</f>
        <v>7772578</v>
      </c>
      <c r="D15" s="7">
        <f>SUM(PassengerData!C5:H5)</f>
        <v>8193486</v>
      </c>
      <c r="E15" s="12">
        <f t="shared" si="0"/>
        <v>6.4361415577575798E-2</v>
      </c>
      <c r="F15" s="12">
        <f t="shared" si="0"/>
        <v>5.4152946422666881E-2</v>
      </c>
    </row>
    <row r="16" spans="1:6" x14ac:dyDescent="0.3">
      <c r="A16" t="s">
        <v>81</v>
      </c>
      <c r="B16" s="9">
        <f>IF(B15=0,0,B12/B15)</f>
        <v>1.3759750110029696</v>
      </c>
      <c r="C16" s="9">
        <f>IF(C15=0,0,C12/C15)</f>
        <v>1.7054132567083917</v>
      </c>
      <c r="D16" s="9">
        <f>IF(D15=0,0,D12/D15)</f>
        <v>1.7601492697979837</v>
      </c>
      <c r="E16" s="12">
        <f t="shared" si="0"/>
        <v>0.2394216777710878</v>
      </c>
      <c r="F16" s="12">
        <f t="shared" si="0"/>
        <v>3.2095454209871477E-2</v>
      </c>
    </row>
    <row r="18" spans="1:4" x14ac:dyDescent="0.3">
      <c r="A18" s="6" t="s">
        <v>82</v>
      </c>
    </row>
    <row r="19" spans="1:4" x14ac:dyDescent="0.3">
      <c r="A19" s="6" t="s">
        <v>47</v>
      </c>
      <c r="B19" s="6">
        <v>2024</v>
      </c>
      <c r="C19" s="6">
        <v>2025</v>
      </c>
      <c r="D19" s="6">
        <v>2026</v>
      </c>
    </row>
    <row r="20" spans="1:4" x14ac:dyDescent="0.3">
      <c r="A20" t="s">
        <v>48</v>
      </c>
      <c r="B20" s="8">
        <f>SUMIFS(Data!$I$2:$I$123,Data!$D$2:$D$123,B$19,Data!$F$2:$F$123,1)</f>
        <v>1285199.1100000001</v>
      </c>
      <c r="C20" s="8">
        <f>SUMIFS(Data!$I$2:$I$123,Data!$D$2:$D$123,C$19,Data!$F$2:$F$123,1)</f>
        <v>1513724.51</v>
      </c>
      <c r="D20" s="8">
        <f>SUMIFS(Data!$I$2:$I$123,Data!$D$2:$D$123,D$19,Data!$F$2:$F$123,1)</f>
        <v>2109073.5300000003</v>
      </c>
    </row>
    <row r="21" spans="1:4" x14ac:dyDescent="0.3">
      <c r="A21" t="s">
        <v>49</v>
      </c>
      <c r="B21" s="8">
        <f>SUMIFS(Data!$I$2:$I$123,Data!$D$2:$D$123,B$19,Data!$F$2:$F$123,2)</f>
        <v>1191468.21</v>
      </c>
      <c r="C21" s="8">
        <f>SUMIFS(Data!$I$2:$I$123,Data!$D$2:$D$123,C$19,Data!$F$2:$F$123,2)</f>
        <v>1733221.9300000002</v>
      </c>
      <c r="D21" s="8">
        <f>SUMIFS(Data!$I$2:$I$123,Data!$D$2:$D$123,D$19,Data!$F$2:$F$123,2)</f>
        <v>1827374.84</v>
      </c>
    </row>
    <row r="22" spans="1:4" x14ac:dyDescent="0.3">
      <c r="A22" t="s">
        <v>50</v>
      </c>
      <c r="B22" s="8">
        <f>SUMIFS(Data!$I$2:$I$123,Data!$D$2:$D$123,B$19,Data!$F$2:$F$123,3)</f>
        <v>1320726.6399999999</v>
      </c>
      <c r="C22" s="8">
        <f>SUMIFS(Data!$I$2:$I$123,Data!$D$2:$D$123,C$19,Data!$F$2:$F$123,3)</f>
        <v>1760224.3699999999</v>
      </c>
      <c r="D22" s="8">
        <f>SUMIFS(Data!$I$2:$I$123,Data!$D$2:$D$123,D$19,Data!$F$2:$F$123,3)</f>
        <v>2276394.0700000003</v>
      </c>
    </row>
    <row r="23" spans="1:4" x14ac:dyDescent="0.3">
      <c r="A23" t="s">
        <v>51</v>
      </c>
      <c r="B23" s="8">
        <f>SUMIFS(Data!$I$2:$I$123,Data!$D$2:$D$123,B$19,Data!$F$2:$F$123,4)</f>
        <v>1632518.7999999998</v>
      </c>
      <c r="C23" s="8">
        <f>SUMIFS(Data!$I$2:$I$123,Data!$D$2:$D$123,C$19,Data!$F$2:$F$123,4)</f>
        <v>2526490.91</v>
      </c>
      <c r="D23" s="8">
        <f>SUMIFS(Data!$I$2:$I$123,Data!$D$2:$D$123,D$19,Data!$F$2:$F$123,4)</f>
        <v>2184653.8899999997</v>
      </c>
    </row>
    <row r="24" spans="1:4" x14ac:dyDescent="0.3">
      <c r="A24" t="s">
        <v>26</v>
      </c>
      <c r="B24" s="8">
        <f>SUMIFS(Data!$I$2:$I$123,Data!$D$2:$D$123,B$19,Data!$F$2:$F$123,5)</f>
        <v>2066828.92</v>
      </c>
      <c r="C24" s="8">
        <f>SUMIFS(Data!$I$2:$I$123,Data!$D$2:$D$123,C$19,Data!$F$2:$F$123,5)</f>
        <v>2629319.2400000002</v>
      </c>
      <c r="D24" s="8">
        <f>SUMIFS(Data!$I$2:$I$123,Data!$D$2:$D$123,D$19,Data!$F$2:$F$123,5)</f>
        <v>3190270.9</v>
      </c>
    </row>
    <row r="25" spans="1:4" x14ac:dyDescent="0.3">
      <c r="A25" t="s">
        <v>52</v>
      </c>
      <c r="B25" s="8">
        <f>SUMIFS(Data!$I$2:$I$123,Data!$D$2:$D$123,B$19,Data!$F$2:$F$123,6)</f>
        <v>2551417.66</v>
      </c>
      <c r="C25" s="8">
        <f>SUMIFS(Data!$I$2:$I$123,Data!$D$2:$D$123,C$19,Data!$F$2:$F$123,6)</f>
        <v>3092476.6</v>
      </c>
      <c r="D25" s="8">
        <f>SUMIFS(Data!$I$2:$I$123,Data!$D$2:$D$123,D$19,Data!$F$2:$F$123,6)</f>
        <v>2833991.17</v>
      </c>
    </row>
    <row r="26" spans="1:4" x14ac:dyDescent="0.3">
      <c r="A26" t="s">
        <v>53</v>
      </c>
      <c r="B26" s="8">
        <f>SUMIFS(Data!$I$2:$I$123,Data!$D$2:$D$123,B$19,Data!$F$2:$F$123,7)</f>
        <v>2006916.7000000002</v>
      </c>
      <c r="C26" s="8">
        <f>SUMIFS(Data!$I$2:$I$123,Data!$D$2:$D$123,C$19,Data!$F$2:$F$123,7)</f>
        <v>3296520.66</v>
      </c>
    </row>
    <row r="27" spans="1:4" x14ac:dyDescent="0.3">
      <c r="A27" t="s">
        <v>54</v>
      </c>
      <c r="B27" s="8">
        <f>SUMIFS(Data!$I$2:$I$123,Data!$D$2:$D$123,B$19,Data!$F$2:$F$123,8)</f>
        <v>6760699.8900000006</v>
      </c>
      <c r="C27" s="8">
        <f>SUMIFS(Data!$I$2:$I$123,Data!$D$2:$D$123,C$19,Data!$F$2:$F$123,8)</f>
        <v>2435490.9699999997</v>
      </c>
    </row>
    <row r="28" spans="1:4" x14ac:dyDescent="0.3">
      <c r="A28" t="s">
        <v>55</v>
      </c>
      <c r="B28" s="8">
        <f>SUMIFS(Data!$I$2:$I$123,Data!$D$2:$D$123,B$19,Data!$F$2:$F$123,9)</f>
        <v>2056802.34</v>
      </c>
      <c r="C28" s="8">
        <f>SUMIFS(Data!$I$2:$I$123,Data!$D$2:$D$123,C$19,Data!$F$2:$F$123,9)</f>
        <v>3227304.6</v>
      </c>
    </row>
    <row r="29" spans="1:4" x14ac:dyDescent="0.3">
      <c r="A29" t="s">
        <v>56</v>
      </c>
      <c r="B29" s="8">
        <f>SUMIFS(Data!$I$2:$I$123,Data!$D$2:$D$123,B$19,Data!$F$2:$F$123,10)</f>
        <v>1751863.6600000001</v>
      </c>
      <c r="C29" s="8">
        <f>SUMIFS(Data!$I$2:$I$123,Data!$D$2:$D$123,C$19,Data!$F$2:$F$123,10)</f>
        <v>2847320.2199999997</v>
      </c>
    </row>
    <row r="30" spans="1:4" x14ac:dyDescent="0.3">
      <c r="A30" t="s">
        <v>57</v>
      </c>
      <c r="B30" s="8">
        <f>SUMIFS(Data!$I$2:$I$123,Data!$D$2:$D$123,B$19,Data!$F$2:$F$123,11)</f>
        <v>1786598.87</v>
      </c>
      <c r="C30" s="8">
        <f>SUMIFS(Data!$I$2:$I$123,Data!$D$2:$D$123,C$19,Data!$F$2:$F$123,11)</f>
        <v>2064020.8</v>
      </c>
    </row>
    <row r="31" spans="1:4" x14ac:dyDescent="0.3">
      <c r="A31" t="s">
        <v>58</v>
      </c>
      <c r="B31" s="8">
        <f>SUMIFS(Data!$I$2:$I$123,Data!$D$2:$D$123,B$19,Data!$F$2:$F$123,12)</f>
        <v>2083333.6300000001</v>
      </c>
      <c r="C31" s="8">
        <f>SUMIFS(Data!$I$2:$I$123,Data!$D$2:$D$123,C$19,Data!$F$2:$F$123,12)</f>
        <v>2146315.17</v>
      </c>
    </row>
    <row r="34" spans="1:11" x14ac:dyDescent="0.3">
      <c r="A34" s="6" t="s">
        <v>83</v>
      </c>
    </row>
    <row r="35" spans="1:11" x14ac:dyDescent="0.3">
      <c r="A35" s="6" t="s">
        <v>62</v>
      </c>
      <c r="B35" s="6" t="s">
        <v>63</v>
      </c>
      <c r="C35" s="6" t="s">
        <v>64</v>
      </c>
      <c r="D35" s="6" t="s">
        <v>84</v>
      </c>
      <c r="E35" s="6" t="s">
        <v>85</v>
      </c>
      <c r="F35" s="6" t="s">
        <v>86</v>
      </c>
      <c r="G35" s="6" t="s">
        <v>87</v>
      </c>
      <c r="H35" s="6" t="s">
        <v>76</v>
      </c>
      <c r="I35" s="6" t="s">
        <v>88</v>
      </c>
      <c r="J35" s="6" t="s">
        <v>89</v>
      </c>
      <c r="K35" s="6" t="s">
        <v>90</v>
      </c>
    </row>
    <row r="36" spans="1:11" x14ac:dyDescent="0.3">
      <c r="A36" t="s">
        <v>15</v>
      </c>
      <c r="B36" t="str">
        <f>INDEX(Data!$B$2:$B$123,MATCH($A36,Data!$A$2:$A$123,0))</f>
        <v>Coffee</v>
      </c>
      <c r="C36" t="str">
        <f>INDEX(Data!$C$2:$C$123,MATCH($A36,Data!$A$2:$A$123,0))</f>
        <v>Central</v>
      </c>
      <c r="D36" s="7">
        <f>_xlfn.MAXIFS(Data!$G$2:$G$123,Data!$A$2:$A$123,$A36)</f>
        <v>398</v>
      </c>
      <c r="E36" s="8">
        <f>SUMIFS(Data!$I$2:$I$123,Data!$A$2:$A$123,$A36,Data!$D$2:$D$123,2024,Data!$F$2:$F$123,"&lt;=6")</f>
        <v>0</v>
      </c>
      <c r="F36" s="8">
        <f>SUMIFS(Data!$I$2:$I$123,Data!$A$2:$A$123,$A36,Data!$D$2:$D$123,2025,Data!$F$2:$F$123,"&lt;=6")</f>
        <v>1868250.57</v>
      </c>
      <c r="G36" s="8">
        <f>SUMIFS(Data!$I$2:$I$123,Data!$A$2:$A$123,$A36,Data!$D$2:$D$123,2026,Data!$F$2:$F$123,"&lt;=6")</f>
        <v>1644137.61</v>
      </c>
      <c r="H36" s="12">
        <f>IF(F36=0,"new",G36/F36-1)</f>
        <v>-0.11995872694956544</v>
      </c>
      <c r="I36" s="7">
        <f>SUMIFS(Data!$H$2:$H$123,Data!$A$2:$A$123,$A36,Data!$D$2:$D$123,2026,Data!$F$2:$F$123,"&lt;=6")</f>
        <v>109213.57</v>
      </c>
      <c r="J36" s="9">
        <f>IF(I36=0,0,G36/I36)</f>
        <v>15.054334456789572</v>
      </c>
      <c r="K36" s="8">
        <f>IF(D36=0,0,G36/D36)</f>
        <v>4130.999020100503</v>
      </c>
    </row>
    <row r="37" spans="1:11" x14ac:dyDescent="0.3">
      <c r="A37" t="s">
        <v>34</v>
      </c>
      <c r="B37" t="str">
        <f>INDEX(Data!$B$2:$B$123,MATCH($A37,Data!$A$2:$A$123,0))</f>
        <v>Restaurants</v>
      </c>
      <c r="C37" t="str">
        <f>INDEX(Data!$C$2:$C$123,MATCH($A37,Data!$A$2:$A$123,0))</f>
        <v>East</v>
      </c>
      <c r="D37" s="7">
        <f>_xlfn.MAXIFS(Data!$G$2:$G$123,Data!$A$2:$A$123,$A37)</f>
        <v>300</v>
      </c>
      <c r="E37" s="8">
        <f>SUMIFS(Data!$I$2:$I$123,Data!$A$2:$A$123,$A37,Data!$D$2:$D$123,2024,Data!$F$2:$F$123,"&lt;=6")</f>
        <v>2383579.5099999998</v>
      </c>
      <c r="F37" s="8">
        <f>SUMIFS(Data!$I$2:$I$123,Data!$A$2:$A$123,$A37,Data!$D$2:$D$123,2025,Data!$F$2:$F$123,"&lt;=6")</f>
        <v>2189201.6100000003</v>
      </c>
      <c r="G37" s="8">
        <f>SUMIFS(Data!$I$2:$I$123,Data!$A$2:$A$123,$A37,Data!$D$2:$D$123,2026,Data!$F$2:$F$123,"&lt;=6")</f>
        <v>1897071.47</v>
      </c>
      <c r="H37" s="12">
        <f>IF(F37=0,"new",G37/F37-1)</f>
        <v>-0.13344140560905227</v>
      </c>
      <c r="I37" s="7">
        <f>SUMIFS(Data!$H$2:$H$123,Data!$A$2:$A$123,$A37,Data!$D$2:$D$123,2026,Data!$F$2:$F$123,"&lt;=6")</f>
        <v>152141.35999999999</v>
      </c>
      <c r="J37" s="9">
        <f>IF(I37=0,0,G37/I37)</f>
        <v>12.469137057799406</v>
      </c>
      <c r="K37" s="8">
        <f>IF(D37=0,0,G37/D37)</f>
        <v>6323.5715666666665</v>
      </c>
    </row>
    <row r="38" spans="1:11" x14ac:dyDescent="0.3">
      <c r="A38" t="s">
        <v>38</v>
      </c>
      <c r="B38" t="str">
        <f>INDEX(Data!$B$2:$B$123,MATCH($A38,Data!$A$2:$A$123,0))</f>
        <v>Coffee</v>
      </c>
      <c r="C38" t="str">
        <f>INDEX(Data!$C$2:$C$123,MATCH($A38,Data!$A$2:$A$123,0))</f>
        <v>West</v>
      </c>
      <c r="D38" s="7">
        <f>_xlfn.MAXIFS(Data!$G$2:$G$123,Data!$A$2:$A$123,$A38)</f>
        <v>269</v>
      </c>
      <c r="E38" s="8">
        <f>SUMIFS(Data!$I$2:$I$123,Data!$A$2:$A$123,$A38,Data!$D$2:$D$123,2024,Data!$F$2:$F$123,"&lt;=6")</f>
        <v>766717.72000000009</v>
      </c>
      <c r="F38" s="8">
        <f>SUMIFS(Data!$I$2:$I$123,Data!$A$2:$A$123,$A38,Data!$D$2:$D$123,2025,Data!$F$2:$F$123,"&lt;=6")</f>
        <v>1494078.67</v>
      </c>
      <c r="G38" s="8">
        <f>SUMIFS(Data!$I$2:$I$123,Data!$A$2:$A$123,$A38,Data!$D$2:$D$123,2026,Data!$F$2:$F$123,"&lt;=6")</f>
        <v>1871420.7</v>
      </c>
      <c r="H38" s="12">
        <f>IF(F38=0,"new",G38/F38-1)</f>
        <v>0.25255834085363116</v>
      </c>
      <c r="I38" s="7">
        <f>SUMIFS(Data!$H$2:$H$123,Data!$A$2:$A$123,$A38,Data!$D$2:$D$123,2026,Data!$F$2:$F$123,"&lt;=6")</f>
        <v>228337.71</v>
      </c>
      <c r="J38" s="9">
        <f>IF(I38=0,0,G38/I38)</f>
        <v>8.1958459686750817</v>
      </c>
      <c r="K38" s="8">
        <f>IF(D38=0,0,G38/D38)</f>
        <v>6956.9542750929368</v>
      </c>
    </row>
    <row r="39" spans="1:11" x14ac:dyDescent="0.3">
      <c r="A39" t="s">
        <v>42</v>
      </c>
      <c r="B39" t="str">
        <f>INDEX(Data!$B$2:$B$123,MATCH($A39,Data!$A$2:$A$123,0))</f>
        <v>Restaurants</v>
      </c>
      <c r="C39" t="str">
        <f>INDEX(Data!$C$2:$C$123,MATCH($A39,Data!$A$2:$A$123,0))</f>
        <v>Central</v>
      </c>
      <c r="D39" s="7">
        <f>_xlfn.MAXIFS(Data!$G$2:$G$123,Data!$A$2:$A$123,$A39)</f>
        <v>343</v>
      </c>
      <c r="E39" s="8">
        <f>SUMIFS(Data!$I$2:$I$123,Data!$A$2:$A$123,$A39,Data!$D$2:$D$123,2024,Data!$F$2:$F$123,"&lt;=6")</f>
        <v>0</v>
      </c>
      <c r="F39" s="8">
        <f>SUMIFS(Data!$I$2:$I$123,Data!$A$2:$A$123,$A39,Data!$D$2:$D$123,2025,Data!$F$2:$F$123,"&lt;=6")</f>
        <v>430677.82</v>
      </c>
      <c r="G39" s="8">
        <f>SUMIFS(Data!$I$2:$I$123,Data!$A$2:$A$123,$A39,Data!$D$2:$D$123,2026,Data!$F$2:$F$123,"&lt;=6")</f>
        <v>857627.77</v>
      </c>
      <c r="H39" s="12">
        <f>IF(F39=0,"new",G39/F39-1)</f>
        <v>0.99134417927535723</v>
      </c>
      <c r="I39" s="7">
        <f>SUMIFS(Data!$H$2:$H$123,Data!$A$2:$A$123,$A39,Data!$D$2:$D$123,2026,Data!$F$2:$F$123,"&lt;=6")</f>
        <v>47019.57</v>
      </c>
      <c r="J39" s="9">
        <f>IF(I39=0,0,G39/I39)</f>
        <v>18.23980461752415</v>
      </c>
      <c r="K39" s="8">
        <f>IF(D39=0,0,G39/D39)</f>
        <v>2500.37250728863</v>
      </c>
    </row>
    <row r="40" spans="1:11" x14ac:dyDescent="0.3">
      <c r="A40" t="s">
        <v>44</v>
      </c>
      <c r="B40" t="str">
        <f>INDEX(Data!$B$2:$B$123,MATCH($A40,Data!$A$2:$A$123,0))</f>
        <v>Restaurants</v>
      </c>
      <c r="C40" t="str">
        <f>INDEX(Data!$C$2:$C$123,MATCH($A40,Data!$A$2:$A$123,0))</f>
        <v>East</v>
      </c>
      <c r="D40" s="7">
        <f>_xlfn.MAXIFS(Data!$G$2:$G$123,Data!$A$2:$A$123,$A40)</f>
        <v>817</v>
      </c>
      <c r="E40" s="8">
        <f>SUMIFS(Data!$I$2:$I$123,Data!$A$2:$A$123,$A40,Data!$D$2:$D$123,2024,Data!$F$2:$F$123,"&lt;=6")</f>
        <v>6897862.1099999994</v>
      </c>
      <c r="F40" s="8">
        <f>SUMIFS(Data!$I$2:$I$123,Data!$A$2:$A$123,$A40,Data!$D$2:$D$123,2025,Data!$F$2:$F$123,"&lt;=6")</f>
        <v>7273248.8899999997</v>
      </c>
      <c r="G40" s="8">
        <f>SUMIFS(Data!$I$2:$I$123,Data!$A$2:$A$123,$A40,Data!$D$2:$D$123,2026,Data!$F$2:$F$123,"&lt;=6")</f>
        <v>8151500.8499999996</v>
      </c>
      <c r="H40" s="12">
        <f>IF(F40=0,"new",G40/F40-1)</f>
        <v>0.12075098395264727</v>
      </c>
      <c r="I40" s="7">
        <f>SUMIFS(Data!$H$2:$H$123,Data!$A$2:$A$123,$A40,Data!$D$2:$D$123,2026,Data!$F$2:$F$123,"&lt;=6")</f>
        <v>545540.48999999987</v>
      </c>
      <c r="J40" s="9">
        <f>IF(I40=0,0,G40/I40)</f>
        <v>14.942063878704955</v>
      </c>
      <c r="K40" s="8">
        <f>IF(D40=0,0,G40/D40)</f>
        <v>9977.3572215422264</v>
      </c>
    </row>
    <row r="41" spans="1:11" x14ac:dyDescent="0.3">
      <c r="A41" s="6" t="s">
        <v>91</v>
      </c>
      <c r="E41" s="13">
        <f>SUM(E36:E40)</f>
        <v>10048159.34</v>
      </c>
      <c r="F41" s="13">
        <f>SUM(F36:F40)</f>
        <v>13255457.560000001</v>
      </c>
      <c r="G41" s="13">
        <f>SUM(G36:G40)</f>
        <v>14421758.4</v>
      </c>
      <c r="I41" s="14">
        <f>SUM(I36:I40)</f>
        <v>1082252.6999999997</v>
      </c>
    </row>
    <row r="44" spans="1:11" x14ac:dyDescent="0.3">
      <c r="A44" s="6" t="s">
        <v>92</v>
      </c>
    </row>
    <row r="45" spans="1:11" x14ac:dyDescent="0.3">
      <c r="A45" s="6" t="s">
        <v>93</v>
      </c>
      <c r="B45" t="str">
        <f>Dashboard!B4</f>
        <v>Gate Bistro</v>
      </c>
    </row>
    <row r="46" spans="1:11" x14ac:dyDescent="0.3">
      <c r="A46" s="6" t="s">
        <v>47</v>
      </c>
      <c r="B46" s="6">
        <v>2024</v>
      </c>
      <c r="C46" s="6">
        <v>2025</v>
      </c>
      <c r="D46" s="6">
        <v>2026</v>
      </c>
    </row>
    <row r="47" spans="1:11" x14ac:dyDescent="0.3">
      <c r="A47" t="s">
        <v>48</v>
      </c>
      <c r="B47" s="8">
        <f>SUMIFS(Data!$I$2:$I$123,Data!$A$2:$A$123,$B$45,Data!$D$2:$D$123,B$46,Data!$F$2:$F$123,1)</f>
        <v>0</v>
      </c>
      <c r="C47" s="8">
        <f>SUMIFS(Data!$I$2:$I$123,Data!$A$2:$A$123,$B$45,Data!$D$2:$D$123,C$46,Data!$F$2:$F$123,1)</f>
        <v>228691.06</v>
      </c>
      <c r="D47" s="8">
        <f>SUMIFS(Data!$I$2:$I$123,Data!$A$2:$A$123,$B$45,Data!$D$2:$D$123,D$46,Data!$F$2:$F$123,1)</f>
        <v>292270.14</v>
      </c>
    </row>
    <row r="48" spans="1:11" x14ac:dyDescent="0.3">
      <c r="A48" t="s">
        <v>49</v>
      </c>
      <c r="B48" s="8">
        <f>SUMIFS(Data!$I$2:$I$123,Data!$A$2:$A$123,$B$45,Data!$D$2:$D$123,B$46,Data!$F$2:$F$123,2)</f>
        <v>0</v>
      </c>
      <c r="C48" s="8">
        <f>SUMIFS(Data!$I$2:$I$123,Data!$A$2:$A$123,$B$45,Data!$D$2:$D$123,C$46,Data!$F$2:$F$123,2)</f>
        <v>199814.15</v>
      </c>
      <c r="D48" s="8">
        <f>SUMIFS(Data!$I$2:$I$123,Data!$A$2:$A$123,$B$45,Data!$D$2:$D$123,D$46,Data!$F$2:$F$123,2)</f>
        <v>235071.51</v>
      </c>
    </row>
    <row r="49" spans="1:4" x14ac:dyDescent="0.3">
      <c r="A49" t="s">
        <v>50</v>
      </c>
      <c r="B49" s="8">
        <f>SUMIFS(Data!$I$2:$I$123,Data!$A$2:$A$123,$B$45,Data!$D$2:$D$123,B$46,Data!$F$2:$F$123,3)</f>
        <v>0</v>
      </c>
      <c r="C49" s="8">
        <f>SUMIFS(Data!$I$2:$I$123,Data!$A$2:$A$123,$B$45,Data!$D$2:$D$123,C$46,Data!$F$2:$F$123,3)</f>
        <v>333749.49</v>
      </c>
      <c r="D49" s="8">
        <f>SUMIFS(Data!$I$2:$I$123,Data!$A$2:$A$123,$B$45,Data!$D$2:$D$123,D$46,Data!$F$2:$F$123,3)</f>
        <v>292012.15999999997</v>
      </c>
    </row>
    <row r="50" spans="1:4" x14ac:dyDescent="0.3">
      <c r="A50" t="s">
        <v>51</v>
      </c>
      <c r="B50" s="8">
        <f>SUMIFS(Data!$I$2:$I$123,Data!$A$2:$A$123,$B$45,Data!$D$2:$D$123,B$46,Data!$F$2:$F$123,4)</f>
        <v>0</v>
      </c>
      <c r="C50" s="8">
        <f>SUMIFS(Data!$I$2:$I$123,Data!$A$2:$A$123,$B$45,Data!$D$2:$D$123,C$46,Data!$F$2:$F$123,4)</f>
        <v>281233.75</v>
      </c>
      <c r="D50" s="8">
        <f>SUMIFS(Data!$I$2:$I$123,Data!$A$2:$A$123,$B$45,Data!$D$2:$D$123,D$46,Data!$F$2:$F$123,4)</f>
        <v>233875.49</v>
      </c>
    </row>
    <row r="51" spans="1:4" x14ac:dyDescent="0.3">
      <c r="A51" t="s">
        <v>26</v>
      </c>
      <c r="B51" s="8">
        <f>SUMIFS(Data!$I$2:$I$123,Data!$A$2:$A$123,$B$45,Data!$D$2:$D$123,B$46,Data!$F$2:$F$123,5)</f>
        <v>0</v>
      </c>
      <c r="C51" s="8">
        <f>SUMIFS(Data!$I$2:$I$123,Data!$A$2:$A$123,$B$45,Data!$D$2:$D$123,C$46,Data!$F$2:$F$123,5)</f>
        <v>379231.63</v>
      </c>
      <c r="D51" s="8">
        <f>SUMIFS(Data!$I$2:$I$123,Data!$A$2:$A$123,$B$45,Data!$D$2:$D$123,D$46,Data!$F$2:$F$123,5)</f>
        <v>305511.03999999998</v>
      </c>
    </row>
    <row r="52" spans="1:4" x14ac:dyDescent="0.3">
      <c r="A52" t="s">
        <v>52</v>
      </c>
      <c r="B52" s="8">
        <f>SUMIFS(Data!$I$2:$I$123,Data!$A$2:$A$123,$B$45,Data!$D$2:$D$123,B$46,Data!$F$2:$F$123,6)</f>
        <v>0</v>
      </c>
      <c r="C52" s="8">
        <f>SUMIFS(Data!$I$2:$I$123,Data!$A$2:$A$123,$B$45,Data!$D$2:$D$123,C$46,Data!$F$2:$F$123,6)</f>
        <v>445530.49</v>
      </c>
      <c r="D52" s="8">
        <f>SUMIFS(Data!$I$2:$I$123,Data!$A$2:$A$123,$B$45,Data!$D$2:$D$123,D$46,Data!$F$2:$F$123,6)</f>
        <v>285397.27</v>
      </c>
    </row>
    <row r="53" spans="1:4" x14ac:dyDescent="0.3">
      <c r="A53" t="s">
        <v>53</v>
      </c>
      <c r="B53" s="8">
        <f>SUMIFS(Data!$I$2:$I$123,Data!$A$2:$A$123,$B$45,Data!$D$2:$D$123,B$46,Data!$F$2:$F$123,7)</f>
        <v>0</v>
      </c>
      <c r="C53" s="8">
        <f>SUMIFS(Data!$I$2:$I$123,Data!$A$2:$A$123,$B$45,Data!$D$2:$D$123,C$46,Data!$F$2:$F$123,7)</f>
        <v>399964.7</v>
      </c>
    </row>
    <row r="54" spans="1:4" x14ac:dyDescent="0.3">
      <c r="A54" t="s">
        <v>54</v>
      </c>
      <c r="B54" s="8">
        <f>SUMIFS(Data!$I$2:$I$123,Data!$A$2:$A$123,$B$45,Data!$D$2:$D$123,B$46,Data!$F$2:$F$123,8)</f>
        <v>0</v>
      </c>
      <c r="C54" s="8">
        <f>SUMIFS(Data!$I$2:$I$123,Data!$A$2:$A$123,$B$45,Data!$D$2:$D$123,C$46,Data!$F$2:$F$123,8)</f>
        <v>388876.27</v>
      </c>
    </row>
    <row r="55" spans="1:4" x14ac:dyDescent="0.3">
      <c r="A55" t="s">
        <v>55</v>
      </c>
      <c r="B55" s="8">
        <f>SUMIFS(Data!$I$2:$I$123,Data!$A$2:$A$123,$B$45,Data!$D$2:$D$123,B$46,Data!$F$2:$F$123,9)</f>
        <v>0</v>
      </c>
      <c r="C55" s="8">
        <f>SUMIFS(Data!$I$2:$I$123,Data!$A$2:$A$123,$B$45,Data!$D$2:$D$123,C$46,Data!$F$2:$F$123,9)</f>
        <v>399015.51</v>
      </c>
    </row>
    <row r="56" spans="1:4" x14ac:dyDescent="0.3">
      <c r="A56" t="s">
        <v>56</v>
      </c>
      <c r="B56" s="8">
        <f>SUMIFS(Data!$I$2:$I$123,Data!$A$2:$A$123,$B$45,Data!$D$2:$D$123,B$46,Data!$F$2:$F$123,10)</f>
        <v>0</v>
      </c>
      <c r="C56" s="8">
        <f>SUMIFS(Data!$I$2:$I$123,Data!$A$2:$A$123,$B$45,Data!$D$2:$D$123,C$46,Data!$F$2:$F$123,10)</f>
        <v>359711.42</v>
      </c>
    </row>
    <row r="57" spans="1:4" x14ac:dyDescent="0.3">
      <c r="A57" t="s">
        <v>57</v>
      </c>
      <c r="B57" s="8">
        <f>SUMIFS(Data!$I$2:$I$123,Data!$A$2:$A$123,$B$45,Data!$D$2:$D$123,B$46,Data!$F$2:$F$123,11)</f>
        <v>0</v>
      </c>
      <c r="C57" s="8">
        <f>SUMIFS(Data!$I$2:$I$123,Data!$A$2:$A$123,$B$45,Data!$D$2:$D$123,C$46,Data!$F$2:$F$123,11)</f>
        <v>295193.05</v>
      </c>
    </row>
    <row r="58" spans="1:4" x14ac:dyDescent="0.3">
      <c r="A58" t="s">
        <v>58</v>
      </c>
      <c r="B58" s="8">
        <f>SUMIFS(Data!$I$2:$I$123,Data!$A$2:$A$123,$B$45,Data!$D$2:$D$123,B$46,Data!$F$2:$F$123,12)</f>
        <v>144744.88</v>
      </c>
      <c r="C58" s="8">
        <f>SUMIFS(Data!$I$2:$I$123,Data!$A$2:$A$123,$B$45,Data!$D$2:$D$123,C$46,Data!$F$2:$F$123,12)</f>
        <v>289865.46999999997</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
  <sheetViews>
    <sheetView tabSelected="1" topLeftCell="A3" zoomScaleNormal="100" workbookViewId="0">
      <selection activeCell="B4" sqref="B4"/>
    </sheetView>
  </sheetViews>
  <sheetFormatPr defaultColWidth="8.5546875" defaultRowHeight="14.4" x14ac:dyDescent="0.3"/>
  <cols>
    <col min="1" max="1" width="22" customWidth="1"/>
    <col min="2" max="2" width="14" customWidth="1"/>
  </cols>
  <sheetData>
    <row r="1" spans="1:3" ht="17.399999999999999" x14ac:dyDescent="0.3">
      <c r="A1" s="15" t="s">
        <v>94</v>
      </c>
    </row>
    <row r="2" spans="1:3" x14ac:dyDescent="0.3">
      <c r="A2" s="16" t="s">
        <v>95</v>
      </c>
    </row>
    <row r="4" spans="1:3" x14ac:dyDescent="0.3">
      <c r="A4" s="6" t="s">
        <v>93</v>
      </c>
      <c r="B4" t="s">
        <v>15</v>
      </c>
      <c r="C4" s="16" t="s">
        <v>104</v>
      </c>
    </row>
    <row r="6" spans="1:3" x14ac:dyDescent="0.3">
      <c r="A6" s="6" t="s">
        <v>96</v>
      </c>
    </row>
    <row r="7" spans="1:3" x14ac:dyDescent="0.3">
      <c r="A7" t="s">
        <v>77</v>
      </c>
      <c r="B7" s="8">
        <f>Output!D12</f>
        <v>14421758.400000002</v>
      </c>
    </row>
    <row r="8" spans="1:3" x14ac:dyDescent="0.3">
      <c r="A8" t="s">
        <v>97</v>
      </c>
      <c r="B8" s="12">
        <f>Output!F12</f>
        <v>8.7986464044776724E-2</v>
      </c>
    </row>
    <row r="9" spans="1:3" x14ac:dyDescent="0.3">
      <c r="A9" t="s">
        <v>12</v>
      </c>
      <c r="B9" s="7">
        <f>Output!D13</f>
        <v>1082252.7</v>
      </c>
    </row>
    <row r="10" spans="1:3" x14ac:dyDescent="0.3">
      <c r="A10" t="s">
        <v>68</v>
      </c>
      <c r="B10" s="9">
        <f>Output!D14</f>
        <v>13.3256848423663</v>
      </c>
    </row>
    <row r="11" spans="1:3" x14ac:dyDescent="0.3">
      <c r="A11" t="s">
        <v>81</v>
      </c>
      <c r="B11" s="9">
        <f>Output!D16</f>
        <v>1.7601492697979837</v>
      </c>
    </row>
  </sheetData>
  <dataValidations count="1">
    <dataValidation type="list" sqref="B4" xr:uid="{00000000-0002-0000-0500-000000000000}">
      <formula1>"Gate Bistro,Terminal Kitchen,Oak Coffee Bar,Sky Deli,North Kitchen"</formula1>
      <formula2>0</formula2>
    </dataValidation>
  </dataValidation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7"/>
  <sheetViews>
    <sheetView zoomScaleNormal="100" workbookViewId="0"/>
  </sheetViews>
  <sheetFormatPr defaultColWidth="8.5546875" defaultRowHeight="14.4" x14ac:dyDescent="0.3"/>
  <cols>
    <col min="1" max="1" width="115" customWidth="1"/>
  </cols>
  <sheetData>
    <row r="1" spans="1:1" ht="15.6" x14ac:dyDescent="0.3">
      <c r="A1" s="10" t="s">
        <v>98</v>
      </c>
    </row>
    <row r="3" spans="1:1" ht="45" customHeight="1" x14ac:dyDescent="0.3">
      <c r="A3" s="3" t="s">
        <v>99</v>
      </c>
    </row>
    <row r="4" spans="1:1" ht="45" customHeight="1" x14ac:dyDescent="0.3">
      <c r="A4" s="3" t="s">
        <v>100</v>
      </c>
    </row>
    <row r="5" spans="1:1" ht="45" customHeight="1" x14ac:dyDescent="0.3">
      <c r="A5" s="3" t="s">
        <v>101</v>
      </c>
    </row>
    <row r="6" spans="1:1" ht="45" customHeight="1" x14ac:dyDescent="0.3">
      <c r="A6" s="3" t="s">
        <v>102</v>
      </c>
    </row>
    <row r="7" spans="1:1" ht="45" customHeight="1" x14ac:dyDescent="0.3">
      <c r="A7" s="3" t="s">
        <v>103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TaskDescription</vt:lpstr>
      <vt:lpstr>RetailerData</vt:lpstr>
      <vt:lpstr>PassengerData</vt:lpstr>
      <vt:lpstr>Data</vt:lpstr>
      <vt:lpstr>Output</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Louisa Thomson</dc:creator>
  <dc:description/>
  <cp:lastModifiedBy>Sanskar Pant</cp:lastModifiedBy>
  <cp:revision>1</cp:revision>
  <dcterms:created xsi:type="dcterms:W3CDTF">2026-07-27T09:10:21Z</dcterms:created>
  <dcterms:modified xsi:type="dcterms:W3CDTF">2026-08-05T04:49:39Z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0x010100EC202C75ABCBB6428B2027D63F8AD354</vt:lpwstr>
  </property>
  <property fmtid="{D5CDD505-2E9C-101B-9397-08002B2CF9AE}" pid="3" name="MediaServiceImageTags">
    <vt:lpwstr/>
  </property>
</Properties>
</file>